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88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90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5" sheetId="1" r:id="rId5"/>
    <sheet state="visible" name="Feb 25" sheetId="2" r:id="rId6"/>
    <sheet state="visible" name="March 25" sheetId="3" r:id="rId7"/>
    <sheet state="visible" name="Apr 25" sheetId="4" r:id="rId8"/>
    <sheet state="visible" name="data" sheetId="5" r:id="rId9"/>
    <sheet state="visible" name="June 25" sheetId="6" r:id="rId10"/>
    <sheet state="visible" name="July 25" sheetId="7" r:id="rId11"/>
    <sheet state="visible" name="Aug 25" sheetId="8" r:id="rId12"/>
    <sheet state="visible" name="Sept 25" sheetId="9" r:id="rId13"/>
    <sheet state="visible" name="Oct 25" sheetId="10" r:id="rId14"/>
    <sheet state="visible" name="Nov 25" sheetId="11" r:id="rId15"/>
    <sheet state="visible" name="Dec 25" sheetId="12" r:id="rId16"/>
    <sheet state="visible" name="Jan 26" sheetId="13" r:id="rId17"/>
    <sheet state="visible" name="Feb 26" sheetId="14" r:id="rId18"/>
    <sheet state="visible" name="March 26" sheetId="15" r:id="rId19"/>
    <sheet state="visible" name="Apr 26" sheetId="16" r:id="rId20"/>
    <sheet state="visible" name="May 26" sheetId="17" r:id="rId21"/>
    <sheet state="visible" name="June 26" sheetId="18" r:id="rId22"/>
  </sheets>
  <definedNames>
    <definedName name="MobileInternet">data!$B$15:$B$16</definedName>
    <definedName name="HouseholdAccessories">data!$B$12:$B$14</definedName>
    <definedName name="Subcategory">data!$B$2:$B$30</definedName>
    <definedName name="Savings">data!$B$22:$B$25</definedName>
    <definedName name="Account">data!$E$2:$E$10</definedName>
    <definedName name="RentAndPaybill">data!$B$2:$B$7</definedName>
    <definedName name="Bazar">data!$B$8:$B$11</definedName>
    <definedName name="Donation">data!$B$27:$B$28</definedName>
    <definedName name="ExtraExpenses">data!$B$17:$B$21</definedName>
    <definedName name="SavingsAcc">data!$G$2:$G$6</definedName>
    <definedName name="DATESTATUS">LAMBDA(startdate, enddate, IF(TODAY()&lt;startdate, "Start in "&amp;(startdate-TODAY()), IF(TODAY()&lt;=enddate, "Expire in "&amp;(enddate-TODAY()), "Expired")))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tc={0de9df01-aeab-4c0e-be28-7587421c9221}</author>
    <author>tc={24755994-97c6-4be1-bf39-c901568de3bb}</author>
    <author>tc={269ba61c-ff8f-47a8-b716-7d5e27b88264}</author>
    <author>tc={2f7da207-2caa-430e-bc67-483139259791}</author>
    <author>tc={30209851-52a6-43c0-b070-f833ca0ccac5}</author>
    <author>tc={3401b736-3c89-4669-9283-350f31c4cd74}</author>
    <author>tc={4b48e394-d3f0-4cd6-87e9-e038c47616e4}</author>
    <author>tc={51b69046-0394-4538-915e-0bae707c25cc}</author>
    <author>tc={53e27fa2-0c1d-4bee-8775-a8f1b53fb4f8}</author>
    <author>tc={5d261b71-ac63-4b23-8158-1943b8f16794}</author>
    <author>tc={6202db6a-35c2-4de3-a0c3-8c4d239924f6}</author>
    <author>tc={6263e1bc-7d0a-4861-a9d2-e33325c08f3e}</author>
    <author>tc={64d82568-7bd6-461b-9048-021cb1a3d107}</author>
    <author>tc={85e07e64-1d88-49fd-be75-ec3515ae7e15}</author>
    <author>tc={8798018b-67d8-4180-8a6d-409e32315ecb}</author>
    <author>tc={898065b4-9b61-458a-956b-2650a42f206b}</author>
    <author>tc={8e87fd57-8238-4101-bd6b-30bffcce909b}</author>
    <author>tc={9074ffa0-a12a-4d48-a91f-629af137a483}</author>
    <author>tc={92602194-3f7b-45e0-bfc2-115f2db8eb49}</author>
    <author>tc={9270f92a-d3db-47b7-9546-5cc4684ac315}</author>
    <author>tc={94905719-0d85-46ce-93a2-05f3e13b5e4d}</author>
    <author>tc={949a0367-a428-4c5e-abb2-5ebfb6e3ee92}</author>
    <author>tc={97d0a1ac-c6bd-41b5-841c-4c402e029c29}</author>
    <author>tc={99280819-1e71-47cd-b2f9-f3b5c72355cc}</author>
    <author>tc={9c982b41-0513-4920-8fb5-ea8549762d28}</author>
    <author>tc={a9255b75-ea39-4676-aded-a82c41b99c84}</author>
    <author>tc={bb52453d-f332-42eb-8087-b5256d5cdb5e}</author>
    <author>tc={be301426-f1a3-4397-976f-d5f2df48134b}</author>
    <author>tc={c506d3ec-3d88-40b6-88aa-a43a4b21c550}</author>
    <author>tc={cea39b9d-309f-424c-add7-7041f3de985c}</author>
    <author>tc={db0e04ca-c654-4a31-b733-065ebb71eac0}</author>
    <author>tc={e2bd4199-eab8-44ac-aebe-58790b8db8ad}</author>
    <author>tc={f1f011d4-ff3b-4a55-a434-660429e16d2d}</author>
    <author>tc={f890264a-06c5-4625-886d-fe476d4730ff}</author>
  </authors>
  <commentList>
    <comment authorId="0" xr:uid="{0de9df01-aeab-4c0e-be28-7587421c9221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tea -- 15
</t>
      </text>
    </comment>
    <comment authorId="1" xr:uid="{24755994-97c6-4be1-bf39-c901568de3bb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biskit -- 200
shampoo -- 20
travel -- 10
elec.billPay -- 635
Monir -- 1510
</t>
      </text>
    </comment>
    <comment authorId="2" xr:uid="{269ba61c-ff8f-47a8-b716-7d5e27b88264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Tea--15
Travel--10
</t>
      </text>
    </comment>
    <comment authorId="3" xr:uid="{2f7da207-2caa-430e-bc67-483139259791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bazar -- 200 (polao cal + sosa + tometo)
travel -- 50
lunch with friend -- 450
tea -- 75
saban -- 75
</t>
      </text>
    </comment>
    <comment authorId="4" xr:uid="{30209851-52a6-43c0-b070-f833ca0ccac5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-- 10
tea -- 15
</t>
      </text>
    </comment>
    <comment authorId="5" xr:uid="{3401b736-3c89-4669-9283-350f31c4cd74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Travel--20
Tea--15
Meal_N -- 35
</t>
      </text>
    </comment>
    <comment authorId="6" xr:uid="{4b48e394-d3f0-4cd6-87e9-e038c47616e4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- 15
meal_N -- 20
shampoo -- 20
</t>
      </text>
    </comment>
    <comment authorId="7" xr:uid="{51b69046-0394-4538-915e-0bae707c25cc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-- 35
</t>
      </text>
    </comment>
    <comment authorId="8" xr:uid="{53e27fa2-0c1d-4bee-8775-a8f1b53fb4f8}" ref="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24/01
-----------
bazar_mess -- 220
tea --35
donation -- 50
25/01
-------------
bazar -- 20
tea -- 30
food -- 40
underwear -- 500
</t>
      </text>
    </comment>
    <comment authorId="9" xr:uid="{5d261b71-ac63-4b23-8158-1943b8f16794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-- 60
tea &amp; others -- 110+40
murgi -- 260
drinks -- 40
hanger -- 130
HRent -- 7,000
Bazar -- 180
</t>
      </text>
    </comment>
    <comment authorId="10" xr:uid="{6202db6a-35c2-4de3-a0c3-8c4d239924f6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Arman Vai due parment -- 6115
bKash add -- 500
</t>
      </text>
    </comment>
    <comment authorId="11" xr:uid="{6263e1bc-7d0a-4861-a9d2-e33325c08f3e}" ref="D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tea --15
</t>
      </text>
    </comment>
    <comment authorId="12" xr:uid="{64d82568-7bd6-461b-9048-021cb1a3d107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cost == 0
settlement with monir
--------------------------
take more 200 taka, 
will take 300tk for prev month meal,
give 2000 through bkash,
still I will get 1000 from him.
</t>
      </text>
    </comment>
    <comment authorId="13" xr:uid="{85e07e64-1d88-49fd-be75-ec3515ae7e15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monir -- 1000
tea -- 30
travel -- 20
donation -- 200
</t>
      </text>
    </comment>
    <comment authorId="14" xr:uid="{8798018b-67d8-4180-8a6d-409e32315ecb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Arman vai -- 6000
santo -- 2000 
prev extra cost -- 2000
</t>
      </text>
    </comment>
    <comment authorId="15" xr:uid="{898065b4-9b61-458a-956b-2650a42f206b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Abbu -- 10,000
Travel (for get-off parents) -- 300
Medicine (monas+maxpro) -- 200
</t>
      </text>
    </comment>
    <comment authorId="16" xr:uid="{8e87fd57-8238-4101-bd6b-30bffcce909b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donation -- 110
</t>
      </text>
    </comment>
    <comment authorId="17" xr:uid="{9074ffa0-a12a-4d48-a91f-629af137a483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Bazar -- 550
Tea -- 15
Travel -- 30
</t>
      </text>
    </comment>
    <comment authorId="18" xr:uid="{92602194-3f7b-45e0-bfc2-115f2db8eb49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juta+socks -- 4100
cap -- 180
tea -- 50
</t>
      </text>
    </comment>
    <comment authorId="19" xr:uid="{9270f92a-d3db-47b7-9546-5cc4684ac315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-- 50
travel -- 10
f.mask -- 20
food -- 60+20
</t>
      </text>
    </comment>
    <comment authorId="20" xr:uid="{94905719-0d85-46ce-93a2-05f3e13b5e4d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monekka -- 100
donation -- 20
tea -- 30
bazar -- 245 (dim+sim+tometo+fulkopi+piaj+dhonepata+gajor)
</t>
      </text>
    </comment>
    <comment authorId="21" xr:uid="{949a0367-a428-4c5e-abb2-5ebfb6e3ee92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bKash
</t>
      </text>
    </comment>
    <comment authorId="22" xr:uid="{97d0a1ac-c6bd-41b5-841c-4c402e029c29}" ref="D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-- 30
tea -- 15
mask -- 180
food_n -- 35
land given to sakib -- 50
reserge to phn_home -- 210
</t>
      </text>
    </comment>
    <comment authorId="23" xr:uid="{99280819-1e71-47cd-b2f9-f3b5c72355cc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tea --15
</t>
      </text>
    </comment>
    <comment authorId="24" xr:uid="{9c982b41-0513-4920-8fb5-ea8549762d28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facial tishu + perfume + hair oil + revive ---- 935
tea -- 30
</t>
      </text>
    </comment>
    <comment authorId="25" xr:uid="{a9255b75-ea39-4676-aded-a82c41b99c84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bazar -- 290 (cal+dim+morich+mosla)
tea -- 15
Nasta -- 20
</t>
      </text>
    </comment>
    <comment authorId="26" xr:uid="{bb52453d-f332-42eb-8087-b5256d5cdb5e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1510 -- 30 dec 24, will back 10Jan25
1000 -- 31 dec 24
</t>
      </text>
    </comment>
    <comment authorId="27" xr:uid="{be301426-f1a3-4397-976f-d5f2df48134b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Reserge_ammu -- 200
travel -- 30
tea -- 15
</t>
      </text>
    </comment>
    <comment authorId="28" xr:uid="{c506d3ec-3d88-40b6-88aa-a43a4b21c550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b/c -- 30
goodNight -- 220
</t>
      </text>
    </comment>
    <comment authorId="29" xr:uid="{cea39b9d-309f-424c-add7-7041f3de985c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meal_N(dim) -- 50
meal_N -- 20
muja -- 50
</t>
      </text>
    </comment>
    <comment authorId="30" xr:uid="{db0e04ca-c654-4a31-b733-065ebb71eac0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due of last month -- 4000
travel -- 20
tea -- 15
buyNet_mine -- 250
</t>
      </text>
    </comment>
    <comment authorId="31" xr:uid="{e2bd4199-eab8-44ac-aebe-58790b8db8ad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bKash
</t>
      </text>
    </comment>
    <comment authorId="32" xr:uid="{f1f011d4-ff3b-4a55-a434-660429e16d2d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tea --55
</t>
      </text>
    </comment>
    <comment authorId="33" xr:uid="{f890264a-06c5-4625-886d-fe476d4730ff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gamca -- 100
travel -- 20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tc={011f3b25-7cea-4923-bae1-5bb8a127e8aa}</author>
    <author>tc={03d00502-7dc9-4954-ac41-e2ebebd5a821}</author>
    <author>tc={0bee11ea-3377-43a0-9e28-c309227a2496}</author>
    <author>tc={0cacacc9-1f4c-4079-8595-bfc81d8af7ac}</author>
    <author>tc={0e83a699-d1ba-49ed-a493-aba5aa68bdb8}</author>
    <author>tc={1eb44fe4-5837-44ae-b9dc-11157e90f47e}</author>
    <author>tc={24f54df9-1bd8-4b81-af30-47f33af683fa}</author>
    <author>tc={36723e32-78db-4e77-a2ac-fb707a18891f}</author>
    <author>tc={36f1a5a0-f7cb-4a52-9a46-3881e3d6608c}</author>
    <author>tc={38cf0a5f-f576-42cd-a226-fb90c3c2c0ea}</author>
    <author>tc={420c1b3c-1d3e-417b-9ca3-2c6b8f5dbeb6}</author>
    <author>tc={4582b984-807a-4395-9ed3-8130473489f6}</author>
    <author>tc={48e0d90e-4f0f-4478-bc35-1c6fb5fb3084}</author>
    <author>tc={4a506604-6664-40e5-8560-70ebcf4a94c1}</author>
    <author>tc={5bd08ea2-cd05-4cb0-9f31-8a81e01832d8}</author>
    <author>tc={603861cf-00b4-40b6-a469-633666fc8d9e}</author>
    <author>tc={66203495-7160-4b7c-b756-7ec92dec1efb}</author>
    <author>tc={6644c816-92bf-4c74-a076-67f0f0feb813}</author>
    <author>tc={727993e0-31b1-40e6-bd42-2ddd1887d16c}</author>
    <author>tc={7674e056-6954-499a-bb1c-e7beaee9cf06}</author>
    <author>tc={837e33ef-4eab-492b-b54d-a2fdd61f6481}</author>
    <author>tc={8a192d55-d940-4341-8127-df1b234fbb82}</author>
    <author>tc={8bf3015d-7db8-4917-820c-48ef2834b488}</author>
    <author>tc={8f8530db-54f5-4b00-b678-b56b394f8277}</author>
    <author>tc={91eae4ac-1a5e-47e5-827c-af53bc5ef013}</author>
    <author>tc={a186367c-68d8-4699-97ba-82711e78e457}</author>
    <author>tc={a776d66c-7fd2-48a7-b5fb-a8641a559513}</author>
    <author>tc={b508b3e8-8096-4a20-a2ea-5d38a03e209f}</author>
    <author>tc={b7e5bbf4-b482-4104-9880-0ee5b7136d1f}</author>
    <author>tc={ba1781a2-2222-4b0c-a598-15ea23dbbe1e}</author>
    <author>tc={d4367949-1c07-4b84-abd0-1445ae46e2a7}</author>
    <author>tc={d5541295-36ea-4bfb-9307-39bc7b233582}</author>
    <author>tc={d7736520-5ea9-43fd-a4c9-aca6d0172ac8}</author>
    <author>tc={dea6af22-b8fa-4e40-a0ff-17d8a3f3ae7a}</author>
    <author>tc={e871bce8-9bdb-452c-8762-13dabfbefc73}</author>
    <author>tc={ebfe73ff-fbeb-4cdd-bb92-a753f2f8082e}</author>
    <author>tc={f0099b76-8d71-4038-8328-1edd2ee75058}</author>
    <author>tc={f4d5350d-057e-4c5c-a372-04ae76d89e06}</author>
    <author>tc={f69df370-69f9-4e9b-882a-d484cf753273}</author>
    <author>tc={f838ce8f-ac21-4270-bd54-852e6a3a05ee}</author>
    <author>tc={fe64088a-3cdc-4162-8fdb-c76154754b77}</author>
  </authors>
  <commentList>
    <comment authorId="0" xr:uid="{011f3b25-7cea-4923-bae1-5bb8a127e8aa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food_n -- 20
</t>
      </text>
    </comment>
    <comment authorId="1" xr:uid="{03d00502-7dc9-4954-ac41-e2ebebd5a821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-- 150
</t>
      </text>
    </comment>
    <comment authorId="2" xr:uid="{0bee11ea-3377-43a0-9e28-c309227a2496}" ref="F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-- 30
food_n -- 70
</t>
      </text>
    </comment>
    <comment authorId="3" xr:uid="{0cacacc9-1f4c-4079-8595-bfc81d8af7ac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-- 30
mug -- 225
</t>
      </text>
    </comment>
    <comment authorId="4" xr:uid="{0e83a699-d1ba-49ed-a493-aba5aa68bdb8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-- 30
</t>
      </text>
    </comment>
    <comment authorId="5" xr:uid="{1eb44fe4-5837-44ae-b9dc-11157e90f47e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-- 250
</t>
      </text>
    </comment>
    <comment authorId="6" xr:uid="{24f54df9-1bd8-4b81-af30-47f33af683fa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-- 30
</t>
      </text>
    </comment>
    <comment authorId="7" xr:uid="{36723e32-78db-4e77-a2ac-fb707a18891f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-- 10
food -- 10
</t>
      </text>
    </comment>
    <comment authorId="8" xr:uid="{36f1a5a0-f7cb-4a52-9a46-3881e3d6608c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-- 1125-750
tea -- 50
home_food -- 1200+750
</t>
      </text>
    </comment>
    <comment authorId="9" xr:uid="{38cf0a5f-f576-42cd-a226-fb90c3c2c0ea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Fan -- 5250
Tea -- 15
food_n -- 30
med -- 85
lend given to razib shekh vai -- 1000
donation -- 10
</t>
      </text>
    </comment>
    <comment authorId="10" xr:uid="{420c1b3c-1d3e-417b-9ca3-2c6b8f5dbeb6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tishu -- 80
shampoo -- 20
gillettee guard -- 50
tea -- 15
medi -- 70
</t>
      </text>
    </comment>
    <comment authorId="11" xr:uid="{4582b984-807a-4395-9ed3-8130473489f6}" ref="G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teavel to home -- 700
</t>
      </text>
    </comment>
    <comment authorId="12" xr:uid="{48e0d90e-4f0f-4478-bc35-1c6fb5fb3084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food_n -- 40
belt -- 1890
jersey -- 350
med -- 105
</t>
      </text>
    </comment>
    <comment authorId="13" xr:uid="{4a506604-6664-40e5-8560-70ebcf4a94c1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food_n -- 40
</t>
      </text>
    </comment>
    <comment authorId="14" xr:uid="{5bd08ea2-cd05-4cb0-9f31-8a81e01832d8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 -- 40
tea -- 30
meal_N -- 35
</t>
      </text>
    </comment>
    <comment authorId="15" xr:uid="{603861cf-00b4-40b6-a469-633666fc8d9e}" ref="F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donation to sira -- 300
tea -- 15
</t>
      </text>
    </comment>
    <comment authorId="16" xr:uid="{66203495-7160-4b7c-b756-7ec92dec1efb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phn -- 01924452580
</t>
      </text>
    </comment>
    <comment authorId="17" xr:uid="{6644c816-92bf-4c74-a076-67f0f0feb813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-- 45
nasta -- 20
bazar_mess -- 240
shopping -- 13900
</t>
      </text>
    </comment>
    <comment authorId="18" xr:uid="{727993e0-31b1-40e6-bd42-2ddd1887d16c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food -- 30 (ruti+vaji)
tea -- 15
</t>
      </text>
    </comment>
    <comment authorId="19" xr:uid="{7674e056-6954-499a-bb1c-e7beaee9cf06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electricity bill -- 298
mobile -- 30
</t>
      </text>
    </comment>
    <comment authorId="20" xr:uid="{837e33ef-4eab-492b-b54d-a2fdd61f6481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tel -- 190
chaPata -- 30
food_n -- 20
DailyNec -- 260 (saban+wheel+goodNight)
</t>
      </text>
    </comment>
    <comment authorId="21" xr:uid="{8a192d55-d940-4341-8127-df1b234fbb82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-- 700
food_n -- 80
tea -- 45
daily_nec -- 35
</t>
      </text>
    </comment>
    <comment authorId="22" xr:uid="{8bf3015d-7db8-4917-820c-48ef2834b488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shirt -- 1490
</t>
      </text>
    </comment>
    <comment authorId="23" xr:uid="{8f8530db-54f5-4b00-b678-b56b394f8277}" ref="F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</t>
      </text>
    </comment>
    <comment authorId="24" xr:uid="{91eae4ac-1a5e-47e5-827c-af53bc5ef013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-- 35
</t>
      </text>
    </comment>
    <comment authorId="25" xr:uid="{a186367c-68d8-4699-97ba-82711e78e457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juta -- 140
tea -- 35
</t>
      </text>
    </comment>
    <comment authorId="26" xr:uid="{a776d66c-7fd2-48a7-b5fb-a8641a559513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duck party -- 1500
</t>
      </text>
    </comment>
    <comment authorId="27" xr:uid="{b508b3e8-8096-4a20-a2ea-5d38a03e209f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food -- 70 (dim-50,ruti-20)
</t>
      </text>
    </comment>
    <comment authorId="28" xr:uid="{b7e5bbf4-b482-4104-9880-0ee5b7136d1f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sav_2.5 (eximBank)
</t>
      </text>
    </comment>
    <comment authorId="29" xr:uid="{ba1781a2-2222-4b0c-a598-15ea23dbbe1e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-- 10
tea -- 30
</t>
      </text>
    </comment>
    <comment authorId="30" xr:uid="{d4367949-1c07-4b84-abd0-1445ae46e2a7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-- 30
food_n -- 20
</t>
      </text>
    </comment>
    <comment authorId="31" xr:uid="{d5541295-36ea-4bfb-9307-39bc7b233582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given to home -- 7000
</t>
      </text>
    </comment>
    <comment authorId="32" xr:uid="{d7736520-5ea9-43fd-a4c9-aca6d0172ac8}" ref="F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-- 15+20
bed cover -- 250
mess_bazar -- 460
lapata cost (donation) -- 110
cini -- 65
deu clear -- 685
</t>
      </text>
    </comment>
    <comment authorId="33" xr:uid="{dea6af22-b8fa-4e40-a0ff-17d8a3f3ae7a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nasta_m -- 30
tea -- 45
bazar_mess -- 540 (paid by santo)
</t>
      </text>
    </comment>
    <comment authorId="34" xr:uid="{e871bce8-9bdb-452c-8762-13dabfbefc73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minute_mine -- 50
int_mine -- 100
</t>
      </text>
    </comment>
    <comment authorId="35" xr:uid="{ebfe73ff-fbeb-4cdd-bb92-a753f2f8082e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</t>
      </text>
    </comment>
    <comment authorId="36" xr:uid="{f0099b76-8d71-4038-8328-1edd2ee75058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</t>
      </text>
    </comment>
    <comment authorId="37" xr:uid="{f4d5350d-057e-4c5c-a372-04ae76d89e06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nasta_m -- 20
tea -- 60
med -- 170
treatToSanto&amp; -- 260
</t>
      </text>
    </comment>
    <comment authorId="38" xr:uid="{f69df370-69f9-4e9b-882a-d484cf753273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-- 45
nasta -- 20
bazar_mess -- 30
hear_cut -- 100
</t>
      </text>
    </comment>
    <comment authorId="39" xr:uid="{f838ce8f-ac21-4270-bd54-852e6a3a05ee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houseRent -- 7000
tea -- 15
noodles -- 90
</t>
      </text>
    </comment>
    <comment authorId="40" xr:uid="{fe64088a-3cdc-4162-8fdb-c76154754b77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-- 20
tea -- 155
mobile stand -- 250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tc={0dff1a71-4636-49b7-8233-97f629ebadb7}</author>
    <author>tc={13194a61-09f2-460a-9391-a06b4012c94d}</author>
    <author>tc={243fbde8-fd39-4893-b034-5a2fec01f68d}</author>
    <author>tc={29d855e5-ff64-4229-a5a0-49cdf58617f2}</author>
    <author>tc={29efb126-9d3e-4e61-9472-5030ddbf950d}</author>
    <author>tc={2e33b7a1-7644-440f-a581-183dff7ca5c6}</author>
    <author>tc={35ce3b52-86b4-4965-9a0e-493177892b39}</author>
    <author>tc={3bfe7acd-3d33-4174-87df-69d7bd9df68e}</author>
    <author>tc={3f256c03-7c4a-4e98-9d09-4921a5bc024a}</author>
    <author>tc={43487e71-0d59-4a79-bcde-03c5b84ffbbd}</author>
    <author>tc={45590ba3-baa9-4e7a-a0df-de9da5b1eab6}</author>
    <author>tc={47d4165f-38f7-44fe-9e61-42c6d30023b6}</author>
    <author>tc={4974d12f-cb76-4fd5-97a3-bb774b4b9155}</author>
    <author>tc={4af62767-503b-46f4-9165-c9a885dc0bc2}</author>
    <author>tc={4c2e468c-9c98-437a-a915-6123996feab8}</author>
    <author>tc={512b7d75-2b5d-4d97-af9f-882a9392c378}</author>
    <author>tc={5f15597c-6e61-4817-9e71-ee3d3f75190f}</author>
    <author>tc={60eaa974-9f3c-4930-a4d0-18bf0f5f3e10}</author>
    <author>tc={611bad1d-5180-45a4-a0b4-c6b56bfc9174}</author>
    <author>tc={74f54766-714f-4f6f-948c-e0277d28236e}</author>
    <author>tc={79797a9e-22e7-4106-b5dd-60e5850db71e}</author>
    <author>tc={7a091626-3fc5-441a-a1e3-2fb4410ea6c3}</author>
    <author>tc={7a29c968-bc1e-4051-9f79-82b83fffd830}</author>
    <author>tc={8a290515-e7f9-408a-a534-a6e37dd04030}</author>
    <author>tc={8eb1e6b6-b400-4a4c-973a-49a339c792ba}</author>
    <author>tc={8f2f9ab8-237b-4a52-b021-015f92e5abab}</author>
    <author>tc={a0d2fc2d-62b5-4f16-a1f5-c7d3ae6358ea}</author>
    <author>tc={a664d12e-ad0c-43fc-9f38-177352d8aa11}</author>
    <author>tc={b1a9aad5-3315-420e-a318-f1fcb164e220}</author>
    <author>tc={b1fa9c43-16e8-4627-bfa0-58d3c16516ba}</author>
    <author>tc={baca4046-e88b-49a7-bede-5d4d56f4c0d1}</author>
    <author>tc={bdbf6262-03d9-46c9-9005-332cef35d817}</author>
    <author>tc={be83e5f0-22e6-423d-ab0b-6d7e9cb9275f}</author>
    <author>tc={d7caefae-aeea-415c-92fa-42cba0062707}</author>
    <author>tc={e76cc02b-498c-42f4-840c-b852fc0120bd}</author>
    <author>tc={f1a01832-a572-415f-b62a-f01d61c729ab}</author>
    <author>tc={f8cb9840-e8d8-4eb4-a5ec-069be7531035}</author>
    <author>tc={fafdbf5d-9ad7-4eca-8062-eec431f3c537}</author>
    <author>tc={fba6b837-f2a3-4563-8a35-85d58eafff06}</author>
    <author>tc={fd1adb98-5753-4392-bf2d-b0ef83da80ba}</author>
    <author>tc={fdd7e354-fb4d-4916-8a77-70cc2998278a}</author>
  </authors>
  <commentList>
    <comment authorId="0" xr:uid="{0dff1a71-4636-49b7-8233-97f629ebadb7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mess_bazar -- 570
tea -- 17
</t>
      </text>
    </comment>
    <comment authorId="1" xr:uid="{13194a61-09f2-460a-9391-a06b4012c94d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-- 90
</t>
      </text>
    </comment>
    <comment authorId="2" xr:uid="{243fbde8-fd39-4893-b034-5a2fec01f68d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-- 25
</t>
      </text>
    </comment>
    <comment authorId="3" xr:uid="{29d855e5-ff64-4229-a5a0-49cdf58617f2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</t>
      </text>
    </comment>
    <comment authorId="4" xr:uid="{29efb126-9d3e-4e61-9472-5030ddbf950d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-- 30
</t>
      </text>
    </comment>
    <comment authorId="5" xr:uid="{2e33b7a1-7644-440f-a581-183dff7ca5c6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</t>
      </text>
    </comment>
    <comment authorId="6" xr:uid="{35ce3b52-86b4-4965-9a0e-493177892b39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-- 17
</t>
      </text>
    </comment>
    <comment authorId="7" xr:uid="{3bfe7acd-3d33-4174-87df-69d7bd9df68e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-- 17
</t>
      </text>
    </comment>
    <comment authorId="8" xr:uid="{3f256c03-7c4a-4e98-9d09-4921a5bc024a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mess_bazar -- 200 (given to aziz)
</t>
      </text>
    </comment>
    <comment authorId="9" xr:uid="{43487e71-0d59-4a79-bcde-03c5b84ffbbd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med -- 70
</t>
      </text>
    </comment>
    <comment authorId="10" xr:uid="{45590ba3-baa9-4e7a-a0df-de9da5b1eab6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-- 297
</t>
      </text>
    </comment>
    <comment authorId="11" xr:uid="{47d4165f-38f7-44fe-9e61-42c6d30023b6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mess_bazar -- 60
tea -- 15
selun -- 70
donation -- 200 (moyla)
</t>
      </text>
    </comment>
    <comment authorId="12" xr:uid="{4974d12f-cb76-4fd5-97a3-bb774b4b9155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home_rent -- 7000
mess_bazar -- 1010
tea -- 15
</t>
      </text>
    </comment>
    <comment authorId="13" xr:uid="{4af62767-503b-46f4-9165-c9a885dc0bc2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mess_bazar -- 350
donation -- 100
food_n -- 35
</t>
      </text>
    </comment>
    <comment authorId="14" xr:uid="{4c2e468c-9c98-437a-a915-6123996feab8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-- 15
mess_bazar -- 175
</t>
      </text>
    </comment>
    <comment authorId="15" xr:uid="{512b7d75-2b5d-4d97-af9f-882a9392c378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neamul -- 10000+10
will return within 5Apr
</t>
      </text>
    </comment>
    <comment authorId="16" xr:uid="{5f15597c-6e61-4817-9e71-ee3d3f75190f}" ref="I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given to home -- 10100
</t>
      </text>
    </comment>
    <comment authorId="17" xr:uid="{60eaa974-9f3c-4930-a4d0-18bf0f5f3e10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food_nasta_m -- 30
tea -- 50
food_kola -- 50
bazar_mess -- 800
</t>
      </text>
    </comment>
    <comment authorId="18" xr:uid="{611bad1d-5180-45a4-a0b4-c6b56bfc9174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monir
</t>
      </text>
    </comment>
    <comment authorId="19" xr:uid="{74f54766-714f-4f6f-948c-e0277d28236e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dh to bar -- 1600
tra -- 50
</t>
      </text>
    </comment>
    <comment authorId="20" xr:uid="{79797a9e-22e7-4106-b5dd-60e5850db71e}" ref="I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mobile -- 300
</t>
      </text>
    </comment>
    <comment authorId="21" xr:uid="{7a091626-3fc5-441a-a1e3-2fb4410ea6c3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 -- 10200
mobile_home -- 208
</t>
      </text>
    </comment>
    <comment authorId="22" xr:uid="{7a29c968-bc1e-4051-9f79-82b83fffd830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monir
</t>
      </text>
    </comment>
    <comment authorId="23" xr:uid="{8a290515-e7f9-408a-a534-a6e37dd04030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food_iftar -- 140
</t>
      </text>
    </comment>
    <comment authorId="24" xr:uid="{8eb1e6b6-b400-4a4c-973a-49a339c792ba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ext_shoping -- 1480
tea -- 15
food_n_ice-cream -- 80
</t>
      </text>
    </comment>
    <comment authorId="25" xr:uid="{8f2f9ab8-237b-4a52-b021-015f92e5abab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donation -- 100
current bill -- 225
</t>
      </text>
    </comment>
    <comment authorId="26" xr:uid="{a0d2fc2d-62b5-4f16-a1f5-c7d3ae6358ea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mess_bazar -- 155
tea -- 50
</t>
      </text>
    </comment>
    <comment authorId="27" xr:uid="{a664d12e-ad0c-43fc-9f38-177352d8aa11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-- 40
mess_bazar -- 250-50
</t>
      </text>
    </comment>
    <comment authorId="28" xr:uid="{b1a9aad5-3315-420e-a318-f1fcb164e220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 -- 70
tea -- 5
</t>
      </text>
    </comment>
    <comment authorId="29" xr:uid="{b1fa9c43-16e8-4627-bfa0-58d3c16516ba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-- 30
tea -- 15
shopping_abbu -- 4147
</t>
      </text>
    </comment>
    <comment authorId="30" xr:uid="{baca4046-e88b-49a7-bede-5d4d56f4c0d1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-- 30
</t>
      </text>
    </comment>
    <comment authorId="31" xr:uid="{bdbf6262-03d9-46c9-9005-332cef35d817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mess_iftar -- 130
</t>
      </text>
    </comment>
    <comment authorId="32" xr:uid="{be83e5f0-22e6-423d-ab0b-6d7e9cb9275f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mess_fixed -- 180
mess_bazar -- 240
med -- 280
tea--15
food_kola -- 30
</t>
      </text>
    </comment>
    <comment authorId="33" xr:uid="{d7caefae-aeea-415c-92fa-42cba0062707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 -- 50
food -- 80
bulb for washroom -- 180
med -- 75
</t>
      </text>
    </comment>
    <comment authorId="34" xr:uid="{e76cc02b-498c-42f4-840c-b852fc0120bd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ayon -- 1000 return
</t>
      </text>
    </comment>
    <comment authorId="35" xr:uid="{f1a01832-a572-415f-b62a-f01d61c729ab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tonmoy vai
</t>
      </text>
    </comment>
    <comment authorId="36" xr:uid="{f8cb9840-e8d8-4eb4-a5ec-069be7531035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mess_tool_for_sit -- 220
jharu -- 160
lobon -- 22
pepe -- 20
</t>
      </text>
    </comment>
    <comment authorId="37" xr:uid="{fafdbf5d-9ad7-4eca-8062-eec431f3c537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home_rent -- 7000
Mess_bazar -- 750+260
Tea-- 15
</t>
      </text>
    </comment>
    <comment authorId="38" xr:uid="{fba6b837-f2a3-4563-8a35-85d58eafff06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tea--15
</t>
      </text>
    </comment>
    <comment authorId="39" xr:uid="{fd1adb98-5753-4392-bf2d-b0ef83da80ba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eximBank -- 2500
knickBand -- 2440
</t>
      </text>
    </comment>
    <comment authorId="40" xr:uid="{fdd7e354-fb4d-4916-8a77-70cc2998278a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pant -- 2190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tc={01ffa056-dd0c-421e-bf93-db1ae5946e8d}</author>
    <author>tc={043f5803-b68a-48bf-b7ac-d1cc5f0cf595}</author>
    <author>tc={1832882a-4392-4c6c-8f71-9b654363c715}</author>
    <author>tc={1eaaff15-755b-4bec-b3c5-bc34782c0677}</author>
    <author>tc={23530c14-5a33-4486-a2b8-14af5894ab86}</author>
    <author>tc={3e4b4e0c-7025-4f1f-8a14-b488d62d777a}</author>
    <author>tc={433b8004-2a23-47f3-bce2-a313376da154}</author>
    <author>tc={83b019ac-dd91-4689-81ab-49aac539a9e7}</author>
    <author>tc={d52980fb-f66f-49d7-922a-86e0ba43e77b}</author>
    <author>tc={f0910e5b-7013-4480-a6f2-0213d388c258}</author>
    <author>tc={ff3ada8a-c6b4-43fc-a064-4b5eb47860a5}</author>
  </authors>
  <commentList>
    <comment authorId="0" xr:uid="{01ffa056-dd0c-421e-bf93-db1ae5946e8d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rajib vai
</t>
      </text>
    </comment>
    <comment authorId="1" xr:uid="{043f5803-b68a-48bf-b7ac-d1cc5f0cf595}" ref="A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kola -- 140
ice-cream -- 400
abbu -- 7000
</t>
      </text>
    </comment>
    <comment authorId="2" xr:uid="{1832882a-4392-4c6c-8f71-9b654363c715}" ref="A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given to nodi
</t>
      </text>
    </comment>
    <comment authorId="3" xr:uid="{1eaaff15-755b-4bec-b3c5-bc34782c0677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return from mess, prev month
</t>
      </text>
    </comment>
    <comment authorId="4" xr:uid="{23530c14-5a33-4486-a2b8-14af5894ab86}" ref="A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 mosjid
200 for ifter
1000 for fetra
</t>
      </text>
    </comment>
    <comment authorId="5" xr:uid="{3e4b4e0c-7025-4f1f-8a14-b488d62d777a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from Neamul, for meal cost
</t>
      </text>
    </comment>
    <comment authorId="6" xr:uid="{433b8004-2a23-47f3-bce2-a313376da154}" ref="AQ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exim sav 2.5
</t>
      </text>
    </comment>
    <comment authorId="7" xr:uid="{83b019ac-dd91-4689-81ab-49aac539a9e7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rajib vai
</t>
      </text>
    </comment>
    <comment authorId="8" xr:uid="{d52980fb-f66f-49d7-922a-86e0ba43e77b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savings eximBank sav_2.5
</t>
      </text>
    </comment>
    <comment authorId="9" xr:uid="{f0910e5b-7013-4480-a6f2-0213d388c258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sofeda
</t>
      </text>
    </comment>
    <comment authorId="10" xr:uid="{ff3ada8a-c6b4-43fc-a064-4b5eb47860a5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eid salami by vio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tc={8b46332a-c21f-4137-844c-482abe3282a4}</author>
    <author>tc={b79705c7-5af4-416c-b561-84c95a0aa36c}</author>
  </authors>
  <commentList>
    <comment authorId="0" xr:uid="{8b46332a-c21f-4137-844c-482abe3282a4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
</t>
      </text>
    </comment>
    <comment authorId="1" xr:uid="{b79705c7-5af4-416c-b561-84c95a0aa36c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adjust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tc={a4817502-28d1-4208-8a0a-4aa037efeb64}</author>
  </authors>
  <commentList>
    <comment authorId="0" xr:uid="{a4817502-28d1-4208-8a0a-4aa037efeb64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abbu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tc={0c4258da-5ff4-4382-a0fb-e64a4beb2e5b}</author>
  </authors>
  <commentList>
    <comment authorId="0" xr:uid="{0c4258da-5ff4-4382-a0fb-e64a4beb2e5b}" ref="M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return 2040 on 10-03-25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tc={a26595eb-a58d-4149-ab12-9510604bd183}</author>
  </authors>
  <commentList>
    <comment authorId="0" xr:uid="{a26595eb-a58d-4149-ab12-9510604bd183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return 10K, lend from ammu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tc={e6d14ec7-b098-44d4-88f8-08476d2c139e}</author>
  </authors>
  <commentList>
    <comment authorId="0" xr:uid="{e6d14ec7-b098-44d4-88f8-08476d2c139e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Return 2500 on 29 May 2026
</t>
      </text>
    </comment>
  </commentList>
</comments>
</file>

<file path=xl/sharedStrings.xml><?xml version="1.0" encoding="utf-8"?>
<sst xmlns="http://schemas.openxmlformats.org/spreadsheetml/2006/main" count="4702" uniqueCount="386">
  <si>
    <t>TOTAL</t>
  </si>
  <si>
    <t>GROUP</t>
  </si>
  <si>
    <t>IN-HAND</t>
  </si>
  <si>
    <t>Estimated</t>
  </si>
  <si>
    <t>Cost</t>
  </si>
  <si>
    <t>Remaining</t>
  </si>
  <si>
    <t>Date</t>
  </si>
  <si>
    <t>Withdraw</t>
  </si>
  <si>
    <t>In-Acc</t>
  </si>
  <si>
    <t>BUDGET</t>
  </si>
  <si>
    <t>Mob. Bank</t>
  </si>
  <si>
    <t>Prev. Due</t>
  </si>
  <si>
    <t>bKash</t>
  </si>
  <si>
    <t>Home</t>
  </si>
  <si>
    <t>H. Rent</t>
  </si>
  <si>
    <t>ext. exp</t>
  </si>
  <si>
    <t>Internet &amp; MS</t>
  </si>
  <si>
    <t>SAV_2.5</t>
  </si>
  <si>
    <t>SAV_5</t>
  </si>
  <si>
    <t>LEND FROM</t>
  </si>
  <si>
    <t>EXT(DN&amp;Med)</t>
  </si>
  <si>
    <t>Mess</t>
  </si>
  <si>
    <t>Food_Meal</t>
  </si>
  <si>
    <t>Travel</t>
  </si>
  <si>
    <t>Tea &amp; Others</t>
  </si>
  <si>
    <t>Lend Given</t>
  </si>
  <si>
    <t>Donation</t>
  </si>
  <si>
    <t>FixedCost</t>
  </si>
  <si>
    <t>LEND TO</t>
  </si>
  <si>
    <t>sakib</t>
  </si>
  <si>
    <t>Monir</t>
  </si>
  <si>
    <t>Transaction</t>
  </si>
  <si>
    <t>DAY</t>
  </si>
  <si>
    <t>TotalCost</t>
  </si>
  <si>
    <t>FINANCIAL STATUS</t>
  </si>
  <si>
    <t>Amount</t>
  </si>
  <si>
    <t>From--To</t>
  </si>
  <si>
    <t>From Cash</t>
  </si>
  <si>
    <t>From bKash</t>
  </si>
  <si>
    <t>Type</t>
  </si>
  <si>
    <t>Current Status</t>
  </si>
  <si>
    <t>Start with</t>
  </si>
  <si>
    <t>Field</t>
  </si>
  <si>
    <t>Budget</t>
  </si>
  <si>
    <t>None</t>
  </si>
  <si>
    <t>sunday</t>
  </si>
  <si>
    <t>S_A/C</t>
  </si>
  <si>
    <t>prevDue</t>
  </si>
  <si>
    <t>monday</t>
  </si>
  <si>
    <t>home</t>
  </si>
  <si>
    <t>tuesday</t>
  </si>
  <si>
    <t>Cash</t>
  </si>
  <si>
    <t>hRent</t>
  </si>
  <si>
    <t>S_A/C--&gt;SonaliBU</t>
  </si>
  <si>
    <t>wednesday</t>
  </si>
  <si>
    <t>givenLend</t>
  </si>
  <si>
    <t>extExp</t>
  </si>
  <si>
    <t>thursday</t>
  </si>
  <si>
    <t>takenLend</t>
  </si>
  <si>
    <t>internet</t>
  </si>
  <si>
    <t>friday</t>
  </si>
  <si>
    <t>SonaliBank</t>
  </si>
  <si>
    <t>sav_2.5</t>
  </si>
  <si>
    <t>bKash--&gt;givenLend</t>
  </si>
  <si>
    <t>saturday</t>
  </si>
  <si>
    <t>Nagad</t>
  </si>
  <si>
    <t>sav_5</t>
  </si>
  <si>
    <t>givenLend--&gt;Cash</t>
  </si>
  <si>
    <t>dailyNec</t>
  </si>
  <si>
    <t>S_A/C--&gt;Cash</t>
  </si>
  <si>
    <t>food</t>
  </si>
  <si>
    <t>S_A/C--&gt;bKash</t>
  </si>
  <si>
    <t>LEND GIVEN TO</t>
  </si>
  <si>
    <t>travel</t>
  </si>
  <si>
    <t>Given To</t>
  </si>
  <si>
    <t>tea</t>
  </si>
  <si>
    <t>bKash--&gt;Cash</t>
  </si>
  <si>
    <t>prev</t>
  </si>
  <si>
    <t>lendGiven</t>
  </si>
  <si>
    <t>Ayon</t>
  </si>
  <si>
    <t>donation</t>
  </si>
  <si>
    <t>givenLend--&gt;bKash</t>
  </si>
  <si>
    <t>Razib Shekh vai</t>
  </si>
  <si>
    <t>mess</t>
  </si>
  <si>
    <t>LEND TAKEN FROM</t>
  </si>
  <si>
    <t>Taken From</t>
  </si>
  <si>
    <t>Cash--&gt;givenLend</t>
  </si>
  <si>
    <t>done</t>
  </si>
  <si>
    <t>T r a n s a c t i o n</t>
  </si>
  <si>
    <t>SonaliBU</t>
  </si>
  <si>
    <t>SonaliBU--&gt;givenLend</t>
  </si>
  <si>
    <t>EximBank</t>
  </si>
  <si>
    <t>SonaliBU--&gt;bKash</t>
  </si>
  <si>
    <t>takenLend--&gt;bKash</t>
  </si>
  <si>
    <t>bKash--&gt;takenLend</t>
  </si>
  <si>
    <t>T  r  a  n  s  a  c  t  i  o  n</t>
  </si>
  <si>
    <t>Total</t>
  </si>
  <si>
    <t>add--&gt;S_A/C</t>
  </si>
  <si>
    <t>add--&gt;bKash</t>
  </si>
  <si>
    <t>add--&gt;Cash</t>
  </si>
  <si>
    <t>Cash--&gt;SonaliBU</t>
  </si>
  <si>
    <t>28-03-25</t>
  </si>
  <si>
    <t>givenLend--&gt;Nagad</t>
  </si>
  <si>
    <t>Rajib Vai</t>
  </si>
  <si>
    <t>Nagad--&gt;Cash</t>
  </si>
  <si>
    <t>Cash--&gt;bKash</t>
  </si>
  <si>
    <t>need to give santo</t>
  </si>
  <si>
    <t>Category</t>
  </si>
  <si>
    <t>Subcategory</t>
  </si>
  <si>
    <t>UniqueCategories</t>
  </si>
  <si>
    <t>PaymentMethod</t>
  </si>
  <si>
    <t>Account</t>
  </si>
  <si>
    <t>Formula</t>
  </si>
  <si>
    <t>SavingsAcc</t>
  </si>
  <si>
    <t>RentAndPaybill</t>
  </si>
  <si>
    <t>HouseRent</t>
  </si>
  <si>
    <t>EximBank_2.5</t>
  </si>
  <si>
    <t>FLATTEN(ARRAYFORMULA(IF(D2:D7&lt;&gt;TRANSPOSE(D2:D7),D2:D7&amp;" &gt; "&amp;TRANSPOSE(D2:D7),"")))</t>
  </si>
  <si>
    <t>ElectricBill_Dhk</t>
  </si>
  <si>
    <t>Bazar</t>
  </si>
  <si>
    <t>SCB</t>
  </si>
  <si>
    <t>CityBank_10</t>
  </si>
  <si>
    <t>ElectricBill_Swk</t>
  </si>
  <si>
    <t>HouseholdAccessories</t>
  </si>
  <si>
    <t>SBL</t>
  </si>
  <si>
    <t>BracBank_10</t>
  </si>
  <si>
    <t>GassBill</t>
  </si>
  <si>
    <t>MobileInternet</t>
  </si>
  <si>
    <t>EXIM</t>
  </si>
  <si>
    <t>SBL_root</t>
  </si>
  <si>
    <t>WifiBill</t>
  </si>
  <si>
    <t>ExtraExpenses</t>
  </si>
  <si>
    <t>Exim_root</t>
  </si>
  <si>
    <t>ServiceBill</t>
  </si>
  <si>
    <t>Savings</t>
  </si>
  <si>
    <t>DailyBazar</t>
  </si>
  <si>
    <t>City</t>
  </si>
  <si>
    <t>LendTaken</t>
  </si>
  <si>
    <t>Fruits</t>
  </si>
  <si>
    <t>Pay</t>
  </si>
  <si>
    <t>LendGiven</t>
  </si>
  <si>
    <t>AdvGiven</t>
  </si>
  <si>
    <t>Others</t>
  </si>
  <si>
    <t>Add</t>
  </si>
  <si>
    <t>DailyAccessories</t>
  </si>
  <si>
    <t>Medicine</t>
  </si>
  <si>
    <t>ForMine</t>
  </si>
  <si>
    <t>ForOthers</t>
  </si>
  <si>
    <t>Tea</t>
  </si>
  <si>
    <t>AiSubs</t>
  </si>
  <si>
    <t>BooksOrCourses</t>
  </si>
  <si>
    <t>Unknown</t>
  </si>
  <si>
    <t>CityService</t>
  </si>
  <si>
    <t>SblService</t>
  </si>
  <si>
    <t>BracService</t>
  </si>
  <si>
    <t>T  r  a  n  s  a  c  t  i  o  n  &amp;  P  a  y</t>
  </si>
  <si>
    <t>Payment Method</t>
  </si>
  <si>
    <t>Remarks</t>
  </si>
  <si>
    <t>FROM</t>
  </si>
  <si>
    <t>TO</t>
  </si>
  <si>
    <t>shampoo</t>
  </si>
  <si>
    <t>ice-cream</t>
  </si>
  <si>
    <t>fridge</t>
  </si>
  <si>
    <t>ammu</t>
  </si>
  <si>
    <t>fan</t>
  </si>
  <si>
    <t>sim-teletalk</t>
  </si>
  <si>
    <t>gas stove</t>
  </si>
  <si>
    <t>home-shifting</t>
  </si>
  <si>
    <t>light, boti</t>
  </si>
  <si>
    <t>vim</t>
  </si>
  <si>
    <t>rosi, electronics</t>
  </si>
  <si>
    <t>ice-cream, biskit, nasta</t>
  </si>
  <si>
    <t>can't find source</t>
  </si>
  <si>
    <t>B  U  D  G  E  T</t>
  </si>
  <si>
    <t>cost</t>
  </si>
  <si>
    <t>Remain</t>
  </si>
  <si>
    <t>xxx</t>
  </si>
  <si>
    <t>mask+odofresh</t>
  </si>
  <si>
    <t>abbu</t>
  </si>
  <si>
    <t>murgi</t>
  </si>
  <si>
    <t>mango</t>
  </si>
  <si>
    <t>fork spoon</t>
  </si>
  <si>
    <t>ammu - 5k, sis - 1K</t>
  </si>
  <si>
    <t>X</t>
  </si>
  <si>
    <t>noodles</t>
  </si>
  <si>
    <t>Rajib vai</t>
  </si>
  <si>
    <t>cal</t>
  </si>
  <si>
    <t>Rafi vai</t>
  </si>
  <si>
    <t>arafat vai</t>
  </si>
  <si>
    <t>team</t>
  </si>
  <si>
    <t>Non-Cash</t>
  </si>
  <si>
    <t>resort</t>
  </si>
  <si>
    <t>due clear to santo</t>
  </si>
  <si>
    <t>amra+peyara</t>
  </si>
  <si>
    <t>chingri</t>
  </si>
  <si>
    <t>fish+duck</t>
  </si>
  <si>
    <t>duck egg</t>
  </si>
  <si>
    <t>rest of rent bill</t>
  </si>
  <si>
    <t>go to park</t>
  </si>
  <si>
    <t>toy</t>
  </si>
  <si>
    <t>poor people, near mosque</t>
  </si>
  <si>
    <t>gpt plus</t>
  </si>
  <si>
    <t>pizza</t>
  </si>
  <si>
    <t>milk</t>
  </si>
  <si>
    <t>komla</t>
  </si>
  <si>
    <t xml:space="preserve">peyara + </t>
  </si>
  <si>
    <t>TGC</t>
  </si>
  <si>
    <t>rubics cube</t>
  </si>
  <si>
    <t>chingri+shing+fusfus++</t>
  </si>
  <si>
    <t>ANAR + MANGO</t>
  </si>
  <si>
    <t>given on 21 Aug</t>
  </si>
  <si>
    <t>misti+chokolet+chips</t>
  </si>
  <si>
    <t>plate+bati+brush</t>
  </si>
  <si>
    <t>misti</t>
  </si>
  <si>
    <t>gari toy</t>
  </si>
  <si>
    <t>mach + murgi</t>
  </si>
  <si>
    <t>due 500</t>
  </si>
  <si>
    <t>medi</t>
  </si>
  <si>
    <t>juich</t>
  </si>
  <si>
    <t>pati-hash</t>
  </si>
  <si>
    <t>pest + goodnight refill</t>
  </si>
  <si>
    <t>med</t>
  </si>
  <si>
    <t>U n k n o w n</t>
  </si>
  <si>
    <t>dental for ammu</t>
  </si>
  <si>
    <t>ice cream</t>
  </si>
  <si>
    <t>tel</t>
  </si>
  <si>
    <t>kola+amra</t>
  </si>
  <si>
    <t>3pc for ammu</t>
  </si>
  <si>
    <t>fish+alu</t>
  </si>
  <si>
    <t>malta</t>
  </si>
  <si>
    <t>to scb</t>
  </si>
  <si>
    <t>dim</t>
  </si>
  <si>
    <t>cake + chokolet</t>
  </si>
  <si>
    <t>25 cash back</t>
  </si>
  <si>
    <t>5 charge</t>
  </si>
  <si>
    <t>prev month - adjustment</t>
  </si>
  <si>
    <t>nepal tour due pay</t>
  </si>
  <si>
    <t>water bottle + water drum</t>
  </si>
  <si>
    <t>chokolet + soft drinks</t>
  </si>
  <si>
    <t>Jahid</t>
  </si>
  <si>
    <t>given to ammu</t>
  </si>
  <si>
    <t>claude</t>
  </si>
  <si>
    <t>FISH</t>
  </si>
  <si>
    <t>Current</t>
  </si>
  <si>
    <t>Prev</t>
  </si>
  <si>
    <t>nov</t>
  </si>
  <si>
    <t>dec</t>
  </si>
  <si>
    <t>jan</t>
  </si>
  <si>
    <t>feb</t>
  </si>
  <si>
    <t>pant+muja</t>
  </si>
  <si>
    <t>tshirt</t>
  </si>
  <si>
    <t>table+chair</t>
  </si>
  <si>
    <t>lpg cyllender+cula+toshok</t>
  </si>
  <si>
    <t>doi+misti</t>
  </si>
  <si>
    <t>n.zoo updown</t>
  </si>
  <si>
    <t>for n.zoo</t>
  </si>
  <si>
    <t>dhk to swk</t>
  </si>
  <si>
    <t>med, adjust 50 tk got from jacket</t>
  </si>
  <si>
    <t>given to abbu</t>
  </si>
  <si>
    <t>doc f suba</t>
  </si>
  <si>
    <t>g.night</t>
  </si>
  <si>
    <t>R e m i n d  M e</t>
  </si>
  <si>
    <t>Task</t>
  </si>
  <si>
    <t>Ticket Dhk to Swk</t>
  </si>
  <si>
    <t>Ticket Swk to Dhk</t>
  </si>
  <si>
    <t>dab + boroi</t>
  </si>
  <si>
    <t>test for ammu</t>
  </si>
  <si>
    <t>for suba</t>
  </si>
  <si>
    <t>til er naru + mama</t>
  </si>
  <si>
    <t>doc + med for ammu</t>
  </si>
  <si>
    <t>toothpest</t>
  </si>
  <si>
    <t>dalim</t>
  </si>
  <si>
    <t>stobary</t>
  </si>
  <si>
    <t>Ammu</t>
  </si>
  <si>
    <t>buff</t>
  </si>
  <si>
    <t>tishu</t>
  </si>
  <si>
    <t>dab</t>
  </si>
  <si>
    <t>dress for suba + khelna</t>
  </si>
  <si>
    <t>nan + momo</t>
  </si>
  <si>
    <t>boroi + dalim</t>
  </si>
  <si>
    <t>rooh afja + khejur</t>
  </si>
  <si>
    <t>suba</t>
  </si>
  <si>
    <t>doi + misti</t>
  </si>
  <si>
    <t>mumps + cold</t>
  </si>
  <si>
    <t>nuts</t>
  </si>
  <si>
    <t>hair cut + khelna</t>
  </si>
  <si>
    <t>fexo + cold syrup</t>
  </si>
  <si>
    <t>khejur</t>
  </si>
  <si>
    <t>chingri + kacki</t>
  </si>
  <si>
    <t>tshirt+juta</t>
  </si>
  <si>
    <t>maybe int. tran.</t>
  </si>
  <si>
    <t>E  I  D  -  B  U  D  G  E  T</t>
  </si>
  <si>
    <t>Shoping -suba</t>
  </si>
  <si>
    <t>dress</t>
  </si>
  <si>
    <t>juta</t>
  </si>
  <si>
    <t>shoping -ammu</t>
  </si>
  <si>
    <t>dress-3pc</t>
  </si>
  <si>
    <t>shoping -nodi</t>
  </si>
  <si>
    <t>shoping -abbu</t>
  </si>
  <si>
    <t>t-shirt</t>
  </si>
  <si>
    <t>t-shirt Reg 2x</t>
  </si>
  <si>
    <t>Lungi</t>
  </si>
  <si>
    <t>shoping -me</t>
  </si>
  <si>
    <t>Juta</t>
  </si>
  <si>
    <t>x</t>
  </si>
  <si>
    <t>Dhk to Swk 3x</t>
  </si>
  <si>
    <t>Swk to Dhk 3x</t>
  </si>
  <si>
    <t>other cost</t>
  </si>
  <si>
    <t>bazar</t>
  </si>
  <si>
    <t>donation 1</t>
  </si>
  <si>
    <t>Fetra</t>
  </si>
  <si>
    <t>Salami</t>
  </si>
  <si>
    <t>Reminder for adv ticket</t>
  </si>
  <si>
    <t>good night refill</t>
  </si>
  <si>
    <t>sunglass for suba</t>
  </si>
  <si>
    <t>meet rafi vai</t>
  </si>
  <si>
    <t>shirt for me</t>
  </si>
  <si>
    <t>khejur + komla</t>
  </si>
  <si>
    <t>fexo+xinc+napa+sargel2+joytrip</t>
  </si>
  <si>
    <t>office to linkroad</t>
  </si>
  <si>
    <t>meet with rafi vai</t>
  </si>
  <si>
    <t>dhk to bar adv ticket</t>
  </si>
  <si>
    <t>edi for soinik</t>
  </si>
  <si>
    <t>khejur + dalim</t>
  </si>
  <si>
    <t>halim + jilipi</t>
  </si>
  <si>
    <t>shofiq mama</t>
  </si>
  <si>
    <t xml:space="preserve">hair </t>
  </si>
  <si>
    <t>goriar par to swk and to home</t>
  </si>
  <si>
    <t>mosjid+unkonwn+</t>
  </si>
  <si>
    <t>tupi</t>
  </si>
  <si>
    <t>rosun</t>
  </si>
  <si>
    <t>mosjid</t>
  </si>
  <si>
    <t>edi</t>
  </si>
  <si>
    <t>add rec 30 on 17-03</t>
  </si>
  <si>
    <t>goru</t>
  </si>
  <si>
    <t>swk to bar + dhaka</t>
  </si>
  <si>
    <t>tea, water and others</t>
  </si>
  <si>
    <t>Festib</t>
  </si>
  <si>
    <t>shirt/panjabi</t>
  </si>
  <si>
    <t>others</t>
  </si>
  <si>
    <t>L o w e s t - B  U  D  G  E  T</t>
  </si>
  <si>
    <t>napa + surgel</t>
  </si>
  <si>
    <t>meet with mama</t>
  </si>
  <si>
    <t>given to ammu to buy an umbrella</t>
  </si>
  <si>
    <t>fruits</t>
  </si>
  <si>
    <t>mug</t>
  </si>
  <si>
    <t>rats</t>
  </si>
  <si>
    <t>to suba</t>
  </si>
  <si>
    <t>Payment Remaining</t>
  </si>
  <si>
    <t>Days</t>
  </si>
  <si>
    <t>Suba's BirthDay</t>
  </si>
  <si>
    <t>doc-skin</t>
  </si>
  <si>
    <t>med-skin</t>
  </si>
  <si>
    <t>f for b.rule</t>
  </si>
  <si>
    <t>chokolet f s</t>
  </si>
  <si>
    <t xml:space="preserve">to a baby </t>
  </si>
  <si>
    <t>chokolet</t>
  </si>
  <si>
    <t>b.day for suba</t>
  </si>
  <si>
    <t>to mosque</t>
  </si>
  <si>
    <t>cake adv</t>
  </si>
  <si>
    <t>selun</t>
  </si>
  <si>
    <t>femoteck for s</t>
  </si>
  <si>
    <t>b.day for s.</t>
  </si>
  <si>
    <t>lichi for s</t>
  </si>
  <si>
    <t xml:space="preserve">solo-spray+caughsyrup for s + lorix </t>
  </si>
  <si>
    <t>napa sub + or salien + kashi syrup</t>
  </si>
  <si>
    <t>cake + lebu</t>
  </si>
  <si>
    <t>cake + porota</t>
  </si>
  <si>
    <t>doc + med for s</t>
  </si>
  <si>
    <t>water bottle and jug</t>
  </si>
  <si>
    <t>fexo for s</t>
  </si>
  <si>
    <t>edi for soinik + sakil vai</t>
  </si>
  <si>
    <t>modhu</t>
  </si>
  <si>
    <t>C O N S T R A N T S</t>
  </si>
  <si>
    <t>Start / Prev</t>
  </si>
  <si>
    <t>End / Curr</t>
  </si>
  <si>
    <t>Previous Month</t>
  </si>
  <si>
    <t>Apr ''26</t>
  </si>
  <si>
    <t>bed sheet + water bottle</t>
  </si>
  <si>
    <t>to ammu + 200 to suba</t>
  </si>
  <si>
    <t>doc for s + med</t>
  </si>
  <si>
    <t>up &amp; down medical</t>
  </si>
  <si>
    <t>Mubin</t>
  </si>
  <si>
    <t>clean desktop</t>
  </si>
  <si>
    <t>1200 juta for me + rest khelna for s</t>
  </si>
  <si>
    <t>May ''26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</si>
</sst>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d-mm-yyyy"/>
    <numFmt numFmtId="166" formatCode="dd-mm-yy"/>
    <numFmt numFmtId="167" formatCode="dd/mm/yy"/>
    <numFmt numFmtId="168" formatCode="d mmmm"/>
    <numFmt numFmtId="169" formatCode="dmmmm"/>
    <numFmt numFmtId="170" formatCode="dd/MM/yyyy"/>
    <numFmt numFmtId="171" formatCode="dd/mm/yyyy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0000FF"/>
      <name val="Arial"/>
      <scheme val="minor"/>
    </font>
    <font/>
    <font>
      <b/>
      <sz val="12.0"/>
      <color theme="1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980000"/>
      <name val="Arial"/>
      <scheme val="minor"/>
    </font>
    <font>
      <sz val="12.0"/>
      <color theme="1"/>
      <name val="Arial"/>
      <scheme val="minor"/>
    </font>
    <font>
      <i/>
      <sz val="11.0"/>
      <color theme="1"/>
      <name val="Arial"/>
      <scheme val="minor"/>
    </font>
    <font>
      <b/>
      <color rgb="FF000000"/>
      <name val="Arial"/>
      <scheme val="minor"/>
    </font>
    <font>
      <color rgb="FF7F6000"/>
      <name val="Arial"/>
      <scheme val="minor"/>
    </font>
    <font>
      <color rgb="FF274E13"/>
      <name val="Arial"/>
      <scheme val="minor"/>
    </font>
    <font>
      <color rgb="FF980000"/>
      <name val="Arial"/>
      <scheme val="minor"/>
    </font>
    <font>
      <b/>
      <color rgb="FF980000"/>
      <name val="Arial"/>
      <scheme val="minor"/>
    </font>
    <font>
      <i/>
      <color theme="1"/>
      <name val="Arial"/>
      <scheme val="minor"/>
    </font>
    <font>
      <color theme="5"/>
      <name val="Arial"/>
      <scheme val="minor"/>
    </font>
    <font>
      <b/>
      <i/>
      <sz val="11.0"/>
      <color rgb="FF980000"/>
      <name val="Arial"/>
      <scheme val="minor"/>
    </font>
    <font>
      <b/>
      <i/>
      <sz val="11.0"/>
      <color theme="1"/>
      <name val="Arial"/>
      <scheme val="minor"/>
    </font>
    <font>
      <b/>
      <color rgb="FFFF0000"/>
      <name val="Arial"/>
      <scheme val="minor"/>
    </font>
    <font>
      <color rgb="FF38761D"/>
      <name val="Arial"/>
      <scheme val="minor"/>
    </font>
    <font>
      <color rgb="FFEA4335"/>
      <name val="Arial"/>
      <scheme val="minor"/>
    </font>
    <font>
      <b/>
      <sz val="14.0"/>
      <color theme="1"/>
      <name val="Arial"/>
      <scheme val="minor"/>
    </font>
    <font>
      <i/>
      <sz val="9.0"/>
      <color theme="1"/>
      <name val="Arial"/>
      <scheme val="minor"/>
    </font>
    <font>
      <color rgb="FFFF0000"/>
      <name val="Arial"/>
      <scheme val="minor"/>
    </font>
    <font>
      <b/>
      <i/>
      <sz val="11.0"/>
      <color rgb="FF000000"/>
      <name val="Arial"/>
      <scheme val="minor"/>
    </font>
    <font>
      <b/>
      <sz val="15.0"/>
      <color rgb="FF980000"/>
      <name val="Arial"/>
      <scheme val="minor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b/>
      <color rgb="FFFF00FF"/>
      <name val="Arial"/>
      <scheme val="minor"/>
    </font>
    <font>
      <b/>
      <sz val="12.0"/>
      <color rgb="FFFF0000"/>
      <name val="Arial"/>
      <scheme val="minor"/>
    </font>
    <font>
      <b/>
      <color rgb="FFEFEFEF"/>
      <name val="Arial"/>
      <scheme val="minor"/>
    </font>
    <font>
      <b/>
      <sz val="11.0"/>
      <color rgb="FF000000"/>
      <name val="Arial"/>
      <scheme val="minor"/>
    </font>
    <font>
      <b/>
      <sz val="15.0"/>
      <color rgb="FFCC4125"/>
      <name val="Arial"/>
      <scheme val="minor"/>
    </font>
    <font>
      <b/>
      <sz val="15.0"/>
      <color rgb="FF0B5394"/>
      <name val="Arial"/>
      <scheme val="minor"/>
    </font>
    <font>
      <b/>
      <sz val="15.0"/>
      <color rgb="FFA61C00"/>
      <name val="Arial"/>
      <scheme val="minor"/>
    </font>
    <font>
      <b/>
      <sz val="15.0"/>
      <color rgb="FF38761D"/>
      <name val="Arial"/>
      <scheme val="minor"/>
    </font>
    <font>
      <color theme="1"/>
      <name val="Arial"/>
    </font>
    <font>
      <color rgb="FFFF0000"/>
      <name val="Arial"/>
    </font>
    <font>
      <b/>
      <sz val="15.0"/>
      <color theme="1"/>
      <name val="Arial"/>
      <scheme val="minor"/>
    </font>
    <font>
      <b/>
      <sz val="10.0"/>
      <color rgb="FF000000"/>
      <name val="Arial"/>
      <scheme val="minor"/>
    </font>
    <font>
      <sz val="15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F9EF"/>
        <bgColor rgb="FFE7F9EF"/>
      </patternFill>
    </fill>
    <fill>
      <patternFill patternType="solid">
        <fgColor rgb="FFFCE5CD"/>
        <bgColor rgb="FFFCE5CD"/>
      </patternFill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  <fill>
      <patternFill patternType="solid">
        <fgColor rgb="FFF8F2EB"/>
        <bgColor rgb="FFF8F2EB"/>
      </patternFill>
    </fill>
    <fill>
      <patternFill patternType="solid">
        <fgColor rgb="FFDDF2F0"/>
        <bgColor rgb="FFDDF2F0"/>
      </patternFill>
    </fill>
    <fill>
      <patternFill patternType="solid">
        <fgColor rgb="FFFEF8E3"/>
        <bgColor rgb="FFFEF8E3"/>
      </patternFill>
    </fill>
    <fill>
      <patternFill patternType="solid">
        <fgColor rgb="FFE8E7FC"/>
        <bgColor rgb="FFE8E7F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A677"/>
        <bgColor rgb="FFCCA677"/>
      </patternFill>
    </fill>
    <fill>
      <patternFill patternType="solid">
        <fgColor rgb="FFFFE6DD"/>
        <bgColor rgb="FFFFE6DD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4" fillId="2" fontId="3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/>
    </xf>
    <xf borderId="5" fillId="4" fontId="4" numFmtId="0" xfId="0" applyAlignment="1" applyBorder="1" applyFont="1">
      <alignment horizontal="center"/>
    </xf>
    <xf borderId="0" fillId="5" fontId="5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6" fillId="6" fontId="6" numFmtId="0" xfId="0" applyAlignment="1" applyBorder="1" applyFill="1" applyFont="1">
      <alignment horizontal="center" readingOrder="0"/>
    </xf>
    <xf borderId="7" fillId="6" fontId="6" numFmtId="0" xfId="0" applyAlignment="1" applyBorder="1" applyFont="1">
      <alignment horizontal="center" readingOrder="0"/>
    </xf>
    <xf borderId="8" fillId="6" fontId="6" numFmtId="0" xfId="0" applyAlignment="1" applyBorder="1" applyFont="1">
      <alignment horizontal="center" readingOrder="0"/>
    </xf>
    <xf borderId="9" fillId="0" fontId="7" numFmtId="0" xfId="0" applyBorder="1" applyFont="1"/>
    <xf borderId="10" fillId="0" fontId="8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1" fillId="7" fontId="1" numFmtId="164" xfId="0" applyAlignment="1" applyBorder="1" applyFill="1" applyFont="1" applyNumberFormat="1">
      <alignment horizontal="center" readingOrder="0"/>
    </xf>
    <xf borderId="2" fillId="7" fontId="1" numFmtId="0" xfId="0" applyAlignment="1" applyBorder="1" applyFont="1">
      <alignment horizontal="center" readingOrder="0"/>
    </xf>
    <xf borderId="4" fillId="8" fontId="1" numFmtId="0" xfId="0" applyAlignment="1" applyBorder="1" applyFill="1" applyFont="1">
      <alignment horizontal="center" readingOrder="0" vertical="center"/>
    </xf>
    <xf borderId="10" fillId="7" fontId="1" numFmtId="0" xfId="0" applyAlignment="1" applyBorder="1" applyFont="1">
      <alignment horizontal="center" readingOrder="0" vertical="center"/>
    </xf>
    <xf borderId="12" fillId="8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2" fillId="0" fontId="9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Border="1" applyFont="1"/>
    <xf borderId="13" fillId="9" fontId="1" numFmtId="164" xfId="0" applyAlignment="1" applyBorder="1" applyFill="1" applyFont="1" applyNumberFormat="1">
      <alignment horizontal="center" readingOrder="0"/>
    </xf>
    <xf borderId="0" fillId="9" fontId="1" numFmtId="0" xfId="0" applyAlignment="1" applyFont="1">
      <alignment horizontal="center"/>
    </xf>
    <xf borderId="14" fillId="9" fontId="7" numFmtId="0" xfId="0" applyBorder="1" applyFont="1"/>
    <xf borderId="13" fillId="9" fontId="1" numFmtId="0" xfId="0" applyAlignment="1" applyBorder="1" applyFont="1">
      <alignment horizontal="center" readingOrder="0" vertical="center"/>
    </xf>
    <xf borderId="15" fillId="8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readingOrder="0"/>
    </xf>
    <xf borderId="0" fillId="0" fontId="9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5" fillId="0" fontId="1" numFmtId="3" xfId="0" applyBorder="1" applyFont="1" applyNumberFormat="1"/>
    <xf borderId="13" fillId="7" fontId="1" numFmtId="164" xfId="0" applyAlignment="1" applyBorder="1" applyFont="1" applyNumberFormat="1">
      <alignment horizontal="center" readingOrder="0"/>
    </xf>
    <xf borderId="0" fillId="7" fontId="1" numFmtId="0" xfId="0" applyAlignment="1" applyFont="1">
      <alignment horizontal="center" readingOrder="0"/>
    </xf>
    <xf borderId="14" fillId="7" fontId="7" numFmtId="0" xfId="0" applyBorder="1" applyFont="1"/>
    <xf borderId="13" fillId="7" fontId="1" numFmtId="0" xfId="0" applyAlignment="1" applyBorder="1" applyFont="1">
      <alignment horizontal="center" readingOrder="0" vertical="center"/>
    </xf>
    <xf borderId="15" fillId="8" fontId="1" numFmtId="0" xfId="0" applyAlignment="1" applyBorder="1" applyFont="1">
      <alignment horizontal="center" readingOrder="0" vertical="center"/>
    </xf>
    <xf borderId="0" fillId="9" fontId="1" numFmtId="3" xfId="0" applyAlignment="1" applyFont="1" applyNumberFormat="1">
      <alignment horizontal="center" readingOrder="0"/>
    </xf>
    <xf borderId="13" fillId="9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7" fontId="1" numFmtId="0" xfId="0" applyAlignment="1" applyFont="1">
      <alignment horizontal="center"/>
    </xf>
    <xf borderId="13" fillId="7" fontId="1" numFmtId="0" xfId="0" applyAlignment="1" applyBorder="1" applyFont="1">
      <alignment horizontal="center" readingOrder="0" vertical="center"/>
    </xf>
    <xf borderId="0" fillId="9" fontId="1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" numFmtId="0" xfId="0" applyFont="1"/>
    <xf borderId="15" fillId="0" fontId="1" numFmtId="0" xfId="0" applyBorder="1" applyFont="1"/>
    <xf borderId="6" fillId="7" fontId="1" numFmtId="164" xfId="0" applyAlignment="1" applyBorder="1" applyFont="1" applyNumberFormat="1">
      <alignment horizontal="center" readingOrder="0"/>
    </xf>
    <xf borderId="7" fillId="7" fontId="1" numFmtId="0" xfId="0" applyAlignment="1" applyBorder="1" applyFont="1">
      <alignment horizontal="center"/>
    </xf>
    <xf borderId="9" fillId="7" fontId="7" numFmtId="0" xfId="0" applyBorder="1" applyFont="1"/>
    <xf borderId="6" fillId="7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readingOrder="0" vertical="center"/>
    </xf>
    <xf borderId="14" fillId="10" fontId="1" numFmtId="0" xfId="0" applyAlignment="1" applyBorder="1" applyFill="1" applyFont="1">
      <alignment horizontal="center" vertical="center"/>
    </xf>
    <xf borderId="10" fillId="9" fontId="10" numFmtId="0" xfId="0" applyAlignment="1" applyBorder="1" applyFont="1">
      <alignment horizontal="center" readingOrder="0" vertical="center"/>
    </xf>
    <xf borderId="12" fillId="10" fontId="10" numFmtId="0" xfId="0" applyAlignment="1" applyBorder="1" applyFont="1">
      <alignment horizontal="center" vertical="center"/>
    </xf>
    <xf borderId="15" fillId="10" fontId="1" numFmtId="0" xfId="0" applyAlignment="1" applyBorder="1" applyFont="1">
      <alignment horizontal="center" readingOrder="0" vertical="center"/>
    </xf>
    <xf borderId="13" fillId="9" fontId="1" numFmtId="0" xfId="0" applyAlignment="1" applyBorder="1" applyFont="1">
      <alignment horizontal="center" vertical="center"/>
    </xf>
    <xf borderId="15" fillId="10" fontId="1" numFmtId="0" xfId="0" applyAlignment="1" applyBorder="1" applyFont="1">
      <alignment horizontal="center" vertical="center"/>
    </xf>
    <xf borderId="0" fillId="7" fontId="1" numFmtId="3" xfId="0" applyAlignment="1" applyFont="1" applyNumberFormat="1">
      <alignment horizontal="center" readingOrder="0"/>
    </xf>
    <xf borderId="13" fillId="7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/>
    </xf>
    <xf borderId="15" fillId="0" fontId="1" numFmtId="0" xfId="0" applyBorder="1" applyFont="1"/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7" fillId="7" fontId="1" numFmtId="0" xfId="0" applyAlignment="1" applyBorder="1" applyFont="1">
      <alignment horizontal="center" readingOrder="0"/>
    </xf>
    <xf borderId="6" fillId="7" fontId="1" numFmtId="0" xfId="0" applyAlignment="1" applyBorder="1" applyFont="1">
      <alignment horizontal="center" vertical="center"/>
    </xf>
    <xf borderId="8" fillId="10" fontId="1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0" fillId="9" fontId="3" numFmtId="0" xfId="0" applyAlignment="1" applyBorder="1" applyFont="1">
      <alignment horizontal="center" readingOrder="0" vertical="center"/>
    </xf>
    <xf borderId="12" fillId="5" fontId="3" numFmtId="3" xfId="0" applyAlignment="1" applyBorder="1" applyFont="1" applyNumberFormat="1">
      <alignment horizontal="center" vertical="center"/>
    </xf>
    <xf borderId="15" fillId="5" fontId="1" numFmtId="3" xfId="0" applyAlignment="1" applyBorder="1" applyFont="1" applyNumberFormat="1">
      <alignment horizontal="center" readingOrder="0" vertical="center"/>
    </xf>
    <xf borderId="15" fillId="5" fontId="1" numFmtId="0" xfId="0" applyAlignment="1" applyBorder="1" applyFont="1">
      <alignment horizontal="center" readingOrder="0" vertical="center"/>
    </xf>
    <xf borderId="15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vertical="center"/>
    </xf>
    <xf borderId="0" fillId="2" fontId="1" numFmtId="164" xfId="0" applyAlignment="1" applyFont="1" applyNumberFormat="1">
      <alignment readingOrder="0"/>
    </xf>
    <xf borderId="1" fillId="5" fontId="11" numFmtId="0" xfId="0" applyAlignment="1" applyBorder="1" applyFont="1">
      <alignment horizontal="center" readingOrder="0"/>
    </xf>
    <xf borderId="3" fillId="0" fontId="7" numFmtId="0" xfId="0" applyBorder="1" applyFont="1"/>
    <xf borderId="3" fillId="5" fontId="12" numFmtId="0" xfId="0" applyAlignment="1" applyBorder="1" applyFont="1">
      <alignment horizontal="center" readingOrder="0" vertical="center"/>
    </xf>
    <xf borderId="2" fillId="5" fontId="12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/>
    </xf>
    <xf borderId="3" fillId="5" fontId="8" numFmtId="0" xfId="0" applyAlignment="1" applyBorder="1" applyFont="1">
      <alignment horizontal="center" readingOrder="0"/>
    </xf>
    <xf borderId="2" fillId="0" fontId="7" numFmtId="0" xfId="0" applyBorder="1" applyFont="1"/>
    <xf borderId="1" fillId="5" fontId="8" numFmtId="0" xfId="0" applyAlignment="1" applyBorder="1" applyFont="1">
      <alignment readingOrder="0"/>
    </xf>
    <xf borderId="2" fillId="5" fontId="8" numFmtId="3" xfId="0" applyBorder="1" applyFont="1" applyNumberFormat="1"/>
    <xf borderId="2" fillId="5" fontId="8" numFmtId="0" xfId="0" applyBorder="1" applyFont="1"/>
    <xf borderId="3" fillId="5" fontId="13" numFmtId="3" xfId="0" applyBorder="1" applyFont="1" applyNumberFormat="1"/>
    <xf borderId="6" fillId="5" fontId="14" numFmtId="0" xfId="0" applyAlignment="1" applyBorder="1" applyFont="1">
      <alignment horizontal="center" readingOrder="0"/>
    </xf>
    <xf borderId="8" fillId="5" fontId="14" numFmtId="0" xfId="0" applyAlignment="1" applyBorder="1" applyFont="1">
      <alignment horizontal="center" readingOrder="0"/>
    </xf>
    <xf borderId="8" fillId="0" fontId="7" numFmtId="0" xfId="0" applyBorder="1" applyFont="1"/>
    <xf borderId="7" fillId="0" fontId="7" numFmtId="0" xfId="0" applyBorder="1" applyFont="1"/>
    <xf borderId="8" fillId="5" fontId="14" numFmtId="0" xfId="0" applyAlignment="1" applyBorder="1" applyFont="1">
      <alignment readingOrder="0"/>
    </xf>
    <xf borderId="7" fillId="5" fontId="1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/>
    </xf>
    <xf borderId="2" fillId="0" fontId="15" numFmtId="165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5" fillId="0" fontId="1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0" fontId="16" numFmtId="3" xfId="0" applyAlignment="1" applyFont="1" applyNumberFormat="1">
      <alignment readingOrder="0"/>
    </xf>
    <xf borderId="2" fillId="0" fontId="16" numFmtId="0" xfId="0" applyAlignment="1" applyBorder="1" applyFont="1">
      <alignment readingOrder="0"/>
    </xf>
    <xf borderId="3" fillId="0" fontId="16" numFmtId="3" xfId="0" applyBorder="1" applyFont="1" applyNumberFormat="1"/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13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3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5" fillId="0" fontId="3" numFmtId="0" xfId="0" applyAlignment="1" applyBorder="1" applyFont="1">
      <alignment readingOrder="0"/>
    </xf>
    <xf borderId="13" fillId="0" fontId="17" numFmtId="0" xfId="0" applyAlignment="1" applyBorder="1" applyFont="1">
      <alignment readingOrder="0"/>
    </xf>
    <xf borderId="0" fillId="0" fontId="17" numFmtId="0" xfId="0" applyAlignment="1" applyFont="1">
      <alignment horizontal="center"/>
    </xf>
    <xf borderId="15" fillId="0" fontId="17" numFmtId="0" xfId="0" applyAlignment="1" applyBorder="1" applyFont="1">
      <alignment readingOrder="0"/>
    </xf>
    <xf borderId="13" fillId="0" fontId="18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15" fillId="0" fontId="18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3" fillId="0" fontId="19" numFmtId="0" xfId="0" applyAlignment="1" applyBorder="1" applyFont="1">
      <alignment horizontal="center" readingOrder="0"/>
    </xf>
    <xf borderId="2" fillId="0" fontId="19" numFmtId="165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/>
    </xf>
    <xf borderId="8" fillId="0" fontId="1" numFmtId="0" xfId="0" applyBorder="1" applyFont="1"/>
    <xf borderId="13" fillId="0" fontId="16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5" fillId="0" fontId="16" numFmtId="3" xfId="0" applyBorder="1" applyFont="1" applyNumberFormat="1"/>
    <xf borderId="0" fillId="0" fontId="1" numFmtId="0" xfId="0" applyAlignment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readingOrder="0"/>
    </xf>
    <xf borderId="3" fillId="0" fontId="15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5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horizontal="center" readingOrder="0"/>
    </xf>
    <xf borderId="6" fillId="5" fontId="20" numFmtId="0" xfId="0" applyAlignment="1" applyBorder="1" applyFont="1">
      <alignment horizontal="center" readingOrder="0"/>
    </xf>
    <xf borderId="7" fillId="5" fontId="20" numFmtId="0" xfId="0" applyAlignment="1" applyBorder="1" applyFont="1">
      <alignment horizontal="center" readingOrder="0"/>
    </xf>
    <xf borderId="8" fillId="5" fontId="20" numFmtId="0" xfId="0" applyAlignment="1" applyBorder="1" applyFont="1">
      <alignment horizontal="center" readingOrder="0"/>
    </xf>
    <xf borderId="13" fillId="0" fontId="1" numFmtId="3" xfId="0" applyAlignment="1" applyBorder="1" applyFont="1" applyNumberFormat="1">
      <alignment horizontal="center" readingOrder="0"/>
    </xf>
    <xf borderId="13" fillId="0" fontId="1" numFmtId="165" xfId="0" applyAlignment="1" applyBorder="1" applyFont="1" applyNumberFormat="1">
      <alignment horizontal="center" readingOrder="0"/>
    </xf>
    <xf borderId="13" fillId="0" fontId="21" numFmtId="0" xfId="0" applyAlignment="1" applyBorder="1" applyFont="1">
      <alignment readingOrder="0"/>
    </xf>
    <xf borderId="0" fillId="0" fontId="21" numFmtId="0" xfId="0" applyAlignment="1" applyFont="1">
      <alignment readingOrder="0"/>
    </xf>
    <xf borderId="0" fillId="0" fontId="21" numFmtId="0" xfId="0" applyAlignment="1" applyFont="1">
      <alignment readingOrder="0"/>
    </xf>
    <xf borderId="15" fillId="0" fontId="21" numFmtId="0" xfId="0" applyBorder="1" applyFont="1"/>
    <xf borderId="13" fillId="0" fontId="1" numFmtId="166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3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0" fillId="0" fontId="19" numFmtId="0" xfId="0" applyFont="1"/>
    <xf borderId="7" fillId="0" fontId="19" numFmtId="0" xfId="0" applyBorder="1" applyFont="1"/>
    <xf borderId="10" fillId="5" fontId="6" numFmtId="0" xfId="0" applyAlignment="1" applyBorder="1" applyFont="1">
      <alignment horizontal="center" readingOrder="0"/>
    </xf>
    <xf borderId="11" fillId="0" fontId="7" numFmtId="0" xfId="0" applyBorder="1" applyFont="1"/>
    <xf borderId="12" fillId="0" fontId="7" numFmtId="0" xfId="0" applyBorder="1" applyFont="1"/>
    <xf borderId="3" fillId="11" fontId="12" numFmtId="0" xfId="0" applyAlignment="1" applyBorder="1" applyFill="1" applyFont="1">
      <alignment horizontal="center" readingOrder="0" vertical="center"/>
    </xf>
    <xf borderId="3" fillId="5" fontId="12" numFmtId="0" xfId="0" applyAlignment="1" applyBorder="1" applyFont="1">
      <alignment horizontal="center" readingOrder="0" textRotation="45" vertical="center"/>
    </xf>
    <xf borderId="2" fillId="5" fontId="12" numFmtId="0" xfId="0" applyAlignment="1" applyBorder="1" applyFont="1">
      <alignment horizontal="center" readingOrder="0" textRotation="45" vertical="center"/>
    </xf>
    <xf borderId="9" fillId="5" fontId="22" numFmtId="0" xfId="0" applyAlignment="1" applyBorder="1" applyFont="1">
      <alignment horizontal="center" readingOrder="0" vertical="center"/>
    </xf>
    <xf borderId="5" fillId="5" fontId="23" numFmtId="0" xfId="0" applyAlignment="1" applyBorder="1" applyFont="1">
      <alignment horizontal="center" readingOrder="0"/>
    </xf>
    <xf borderId="8" fillId="11" fontId="12" numFmtId="0" xfId="0" applyAlignment="1" applyBorder="1" applyFont="1">
      <alignment horizontal="center" readingOrder="0" vertical="center"/>
    </xf>
    <xf borderId="13" fillId="5" fontId="14" numFmtId="0" xfId="0" applyAlignment="1" applyBorder="1" applyFont="1">
      <alignment horizontal="center" readingOrder="0"/>
    </xf>
    <xf borderId="0" fillId="5" fontId="14" numFmtId="0" xfId="0" applyAlignment="1" applyFont="1">
      <alignment horizontal="center" readingOrder="0"/>
    </xf>
    <xf borderId="15" fillId="5" fontId="14" numFmtId="0" xfId="0" applyAlignment="1" applyBorder="1" applyFont="1">
      <alignment horizontal="center" readingOrder="0"/>
    </xf>
    <xf borderId="14" fillId="0" fontId="1" numFmtId="166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3" fillId="11" fontId="15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3" fillId="11" fontId="24" numFmtId="0" xfId="0" applyAlignment="1" applyBorder="1" applyFont="1">
      <alignment horizontal="center" readingOrder="0"/>
    </xf>
    <xf borderId="3" fillId="0" fontId="24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3" fillId="0" fontId="25" numFmtId="0" xfId="0" applyAlignment="1" applyBorder="1" applyFont="1">
      <alignment readingOrder="0"/>
    </xf>
    <xf borderId="0" fillId="0" fontId="25" numFmtId="3" xfId="0" applyAlignment="1" applyFont="1" applyNumberFormat="1">
      <alignment readingOrder="0"/>
    </xf>
    <xf borderId="0" fillId="0" fontId="25" numFmtId="0" xfId="0" applyAlignment="1" applyFont="1">
      <alignment readingOrder="0"/>
    </xf>
    <xf borderId="15" fillId="0" fontId="25" numFmtId="3" xfId="0" applyBorder="1" applyFont="1" applyNumberFormat="1"/>
    <xf borderId="0" fillId="0" fontId="26" numFmtId="0" xfId="0" applyAlignment="1" applyFont="1">
      <alignment readingOrder="0"/>
    </xf>
    <xf borderId="0" fillId="0" fontId="26" numFmtId="0" xfId="0" applyAlignment="1" applyFont="1">
      <alignment readingOrder="0"/>
    </xf>
    <xf borderId="15" fillId="0" fontId="1" numFmtId="3" xfId="0" applyAlignment="1" applyBorder="1" applyFont="1" applyNumberFormat="1">
      <alignment readingOrder="0"/>
    </xf>
    <xf borderId="14" fillId="0" fontId="1" numFmtId="3" xfId="0" applyAlignment="1" applyBorder="1" applyFont="1" applyNumberFormat="1">
      <alignment horizontal="center" readingOrder="0"/>
    </xf>
    <xf borderId="14" fillId="0" fontId="1" numFmtId="0" xfId="0" applyAlignment="1" applyBorder="1" applyFont="1">
      <alignment horizontal="center"/>
    </xf>
    <xf borderId="13" fillId="0" fontId="1" numFmtId="166" xfId="0" applyAlignment="1" applyBorder="1" applyFont="1" applyNumberFormat="1">
      <alignment readingOrder="0"/>
    </xf>
    <xf borderId="14" fillId="7" fontId="1" numFmtId="0" xfId="0" applyAlignment="1" applyBorder="1" applyFont="1">
      <alignment horizontal="center" readingOrder="0"/>
    </xf>
    <xf borderId="0" fillId="11" fontId="19" numFmtId="0" xfId="0" applyFont="1"/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" fillId="10" fontId="5" numFmtId="0" xfId="0" applyAlignment="1" applyBorder="1" applyFont="1">
      <alignment horizontal="center" readingOrder="0"/>
    </xf>
    <xf borderId="4" fillId="12" fontId="27" numFmtId="0" xfId="0" applyAlignment="1" applyBorder="1" applyFill="1" applyFont="1">
      <alignment horizontal="center" readingOrder="0" textRotation="45"/>
    </xf>
    <xf borderId="1" fillId="13" fontId="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" fillId="9" fontId="5" numFmtId="0" xfId="0" applyAlignment="1" applyBorder="1" applyFont="1">
      <alignment horizontal="center" readingOrder="0"/>
    </xf>
    <xf borderId="1" fillId="15" fontId="5" numFmtId="0" xfId="0" applyAlignment="1" applyBorder="1" applyFill="1" applyFont="1">
      <alignment horizontal="center" readingOrder="0"/>
    </xf>
    <xf borderId="1" fillId="16" fontId="5" numFmtId="0" xfId="0" applyAlignment="1" applyBorder="1" applyFill="1" applyFont="1">
      <alignment horizontal="center" readingOrder="0"/>
    </xf>
    <xf borderId="1" fillId="17" fontId="5" numFmtId="0" xfId="0" applyAlignment="1" applyBorder="1" applyFill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8" fontId="5" numFmtId="0" xfId="0" applyAlignment="1" applyBorder="1" applyFont="1">
      <alignment horizontal="center" readingOrder="0"/>
    </xf>
    <xf borderId="1" fillId="18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9" fillId="5" fontId="23" numFmtId="0" xfId="0" applyAlignment="1" applyBorder="1" applyFont="1">
      <alignment horizontal="center" readingOrder="0"/>
    </xf>
    <xf borderId="6" fillId="10" fontId="28" numFmtId="0" xfId="0" applyAlignment="1" applyBorder="1" applyFont="1">
      <alignment horizontal="center" readingOrder="0"/>
    </xf>
    <xf borderId="8" fillId="10" fontId="28" numFmtId="0" xfId="0" applyAlignment="1" applyBorder="1" applyFont="1">
      <alignment horizontal="center" readingOrder="0"/>
    </xf>
    <xf borderId="6" fillId="13" fontId="28" numFmtId="0" xfId="0" applyAlignment="1" applyBorder="1" applyFont="1">
      <alignment horizontal="center" readingOrder="0"/>
    </xf>
    <xf borderId="8" fillId="13" fontId="28" numFmtId="0" xfId="0" applyAlignment="1" applyBorder="1" applyFont="1">
      <alignment horizontal="center" readingOrder="0"/>
    </xf>
    <xf borderId="6" fillId="14" fontId="28" numFmtId="0" xfId="0" applyAlignment="1" applyBorder="1" applyFont="1">
      <alignment horizontal="center" readingOrder="0"/>
    </xf>
    <xf borderId="8" fillId="14" fontId="28" numFmtId="0" xfId="0" applyAlignment="1" applyBorder="1" applyFont="1">
      <alignment horizontal="center" readingOrder="0"/>
    </xf>
    <xf borderId="6" fillId="9" fontId="28" numFmtId="0" xfId="0" applyAlignment="1" applyBorder="1" applyFont="1">
      <alignment horizontal="center" readingOrder="0"/>
    </xf>
    <xf borderId="8" fillId="9" fontId="28" numFmtId="0" xfId="0" applyAlignment="1" applyBorder="1" applyFont="1">
      <alignment horizontal="center" readingOrder="0"/>
    </xf>
    <xf borderId="6" fillId="15" fontId="28" numFmtId="0" xfId="0" applyAlignment="1" applyBorder="1" applyFont="1">
      <alignment horizontal="center" readingOrder="0"/>
    </xf>
    <xf borderId="8" fillId="15" fontId="28" numFmtId="0" xfId="0" applyAlignment="1" applyBorder="1" applyFont="1">
      <alignment horizontal="center" readingOrder="0"/>
    </xf>
    <xf borderId="6" fillId="16" fontId="28" numFmtId="0" xfId="0" applyAlignment="1" applyBorder="1" applyFont="1">
      <alignment horizontal="center" readingOrder="0"/>
    </xf>
    <xf borderId="8" fillId="16" fontId="28" numFmtId="0" xfId="0" applyAlignment="1" applyBorder="1" applyFont="1">
      <alignment horizontal="center" readingOrder="0"/>
    </xf>
    <xf borderId="6" fillId="17" fontId="28" numFmtId="0" xfId="0" applyAlignment="1" applyBorder="1" applyFont="1">
      <alignment horizontal="center" readingOrder="0"/>
    </xf>
    <xf borderId="8" fillId="17" fontId="28" numFmtId="0" xfId="0" applyAlignment="1" applyBorder="1" applyFont="1">
      <alignment horizontal="center" readingOrder="0"/>
    </xf>
    <xf borderId="6" fillId="5" fontId="28" numFmtId="0" xfId="0" applyAlignment="1" applyBorder="1" applyFont="1">
      <alignment horizontal="center" readingOrder="0"/>
    </xf>
    <xf borderId="8" fillId="5" fontId="28" numFmtId="0" xfId="0" applyAlignment="1" applyBorder="1" applyFont="1">
      <alignment horizontal="center" readingOrder="0"/>
    </xf>
    <xf borderId="6" fillId="8" fontId="28" numFmtId="0" xfId="0" applyAlignment="1" applyBorder="1" applyFont="1">
      <alignment horizontal="center" readingOrder="0"/>
    </xf>
    <xf borderId="8" fillId="8" fontId="28" numFmtId="0" xfId="0" applyAlignment="1" applyBorder="1" applyFont="1">
      <alignment horizontal="center" readingOrder="0"/>
    </xf>
    <xf borderId="6" fillId="18" fontId="28" numFmtId="0" xfId="0" applyAlignment="1" applyBorder="1" applyFont="1">
      <alignment horizontal="center" readingOrder="0"/>
    </xf>
    <xf borderId="8" fillId="18" fontId="28" numFmtId="0" xfId="0" applyAlignment="1" applyBorder="1" applyFont="1">
      <alignment horizontal="center" readingOrder="0"/>
    </xf>
    <xf borderId="6" fillId="0" fontId="28" numFmtId="0" xfId="0" applyAlignment="1" applyBorder="1" applyFont="1">
      <alignment horizontal="center" readingOrder="0"/>
    </xf>
    <xf borderId="8" fillId="0" fontId="28" numFmtId="0" xfId="0" applyAlignment="1" applyBorder="1" applyFont="1">
      <alignment horizontal="center" readingOrder="0"/>
    </xf>
    <xf borderId="7" fillId="0" fontId="28" numFmtId="0" xfId="0" applyAlignment="1" applyBorder="1" applyFont="1">
      <alignment horizontal="center" readingOrder="0"/>
    </xf>
    <xf borderId="13" fillId="10" fontId="1" numFmtId="0" xfId="0" applyAlignment="1" applyBorder="1" applyFont="1">
      <alignment horizontal="center"/>
    </xf>
    <xf borderId="15" fillId="10" fontId="1" numFmtId="0" xfId="0" applyAlignment="1" applyBorder="1" applyFont="1">
      <alignment horizontal="center"/>
    </xf>
    <xf borderId="14" fillId="12" fontId="3" numFmtId="0" xfId="0" applyAlignment="1" applyBorder="1" applyFont="1">
      <alignment horizontal="center"/>
    </xf>
    <xf borderId="13" fillId="13" fontId="1" numFmtId="0" xfId="0" applyAlignment="1" applyBorder="1" applyFont="1">
      <alignment horizontal="center" readingOrder="0"/>
    </xf>
    <xf borderId="15" fillId="13" fontId="1" numFmtId="0" xfId="0" applyAlignment="1" applyBorder="1" applyFont="1">
      <alignment horizontal="center" readingOrder="0"/>
    </xf>
    <xf borderId="13" fillId="14" fontId="1" numFmtId="0" xfId="0" applyAlignment="1" applyBorder="1" applyFont="1">
      <alignment horizontal="center"/>
    </xf>
    <xf borderId="15" fillId="14" fontId="1" numFmtId="0" xfId="0" applyAlignment="1" applyBorder="1" applyFont="1">
      <alignment horizontal="center"/>
    </xf>
    <xf borderId="13" fillId="9" fontId="1" numFmtId="0" xfId="0" applyAlignment="1" applyBorder="1" applyFont="1">
      <alignment horizontal="center"/>
    </xf>
    <xf borderId="15" fillId="9" fontId="1" numFmtId="0" xfId="0" applyAlignment="1" applyBorder="1" applyFont="1">
      <alignment horizontal="center"/>
    </xf>
    <xf borderId="13" fillId="15" fontId="1" numFmtId="0" xfId="0" applyAlignment="1" applyBorder="1" applyFont="1">
      <alignment horizontal="center"/>
    </xf>
    <xf borderId="15" fillId="15" fontId="1" numFmtId="0" xfId="0" applyAlignment="1" applyBorder="1" applyFont="1">
      <alignment horizontal="center"/>
    </xf>
    <xf borderId="13" fillId="16" fontId="1" numFmtId="0" xfId="0" applyAlignment="1" applyBorder="1" applyFont="1">
      <alignment horizontal="center"/>
    </xf>
    <xf borderId="15" fillId="16" fontId="1" numFmtId="0" xfId="0" applyAlignment="1" applyBorder="1" applyFont="1">
      <alignment horizontal="center"/>
    </xf>
    <xf borderId="13" fillId="17" fontId="1" numFmtId="0" xfId="0" applyAlignment="1" applyBorder="1" applyFont="1">
      <alignment horizontal="center"/>
    </xf>
    <xf borderId="15" fillId="17" fontId="1" numFmtId="0" xfId="0" applyAlignment="1" applyBorder="1" applyFont="1">
      <alignment horizontal="center"/>
    </xf>
    <xf borderId="13" fillId="5" fontId="1" numFmtId="0" xfId="0" applyAlignment="1" applyBorder="1" applyFont="1">
      <alignment horizontal="center"/>
    </xf>
    <xf borderId="15" fillId="5" fontId="1" numFmtId="0" xfId="0" applyAlignment="1" applyBorder="1" applyFont="1">
      <alignment horizontal="center"/>
    </xf>
    <xf borderId="13" fillId="8" fontId="1" numFmtId="0" xfId="0" applyAlignment="1" applyBorder="1" applyFont="1">
      <alignment horizontal="center" readingOrder="0"/>
    </xf>
    <xf borderId="15" fillId="8" fontId="1" numFmtId="0" xfId="0" applyAlignment="1" applyBorder="1" applyFont="1">
      <alignment horizontal="center"/>
    </xf>
    <xf borderId="13" fillId="10" fontId="1" numFmtId="0" xfId="0" applyAlignment="1" applyBorder="1" applyFont="1">
      <alignment horizontal="center" readingOrder="0"/>
    </xf>
    <xf borderId="13" fillId="18" fontId="1" numFmtId="0" xfId="0" applyAlignment="1" applyBorder="1" applyFont="1">
      <alignment horizontal="center"/>
    </xf>
    <xf borderId="15" fillId="18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3" fillId="13" fontId="1" numFmtId="0" xfId="0" applyAlignment="1" applyBorder="1" applyFont="1">
      <alignment horizontal="center"/>
    </xf>
    <xf borderId="15" fillId="13" fontId="1" numFmtId="0" xfId="0" applyAlignment="1" applyBorder="1" applyFont="1">
      <alignment horizontal="center"/>
    </xf>
    <xf borderId="13" fillId="9" fontId="1" numFmtId="0" xfId="0" applyAlignment="1" applyBorder="1" applyFont="1">
      <alignment horizontal="center" readingOrder="0"/>
    </xf>
    <xf borderId="13" fillId="15" fontId="1" numFmtId="0" xfId="0" applyAlignment="1" applyBorder="1" applyFont="1">
      <alignment horizontal="center" readingOrder="0"/>
    </xf>
    <xf borderId="13" fillId="8" fontId="1" numFmtId="0" xfId="0" applyAlignment="1" applyBorder="1" applyFont="1">
      <alignment horizontal="center"/>
    </xf>
    <xf borderId="15" fillId="18" fontId="1" numFmtId="0" xfId="0" applyAlignment="1" applyBorder="1" applyFont="1">
      <alignment horizontal="center"/>
    </xf>
    <xf borderId="2" fillId="0" fontId="24" numFmtId="165" xfId="0" applyAlignment="1" applyBorder="1" applyFont="1" applyNumberFormat="1">
      <alignment horizontal="center" readingOrder="0"/>
    </xf>
    <xf borderId="13" fillId="0" fontId="29" numFmtId="0" xfId="0" applyAlignment="1" applyBorder="1" applyFont="1">
      <alignment horizontal="center" readingOrder="0"/>
    </xf>
    <xf borderId="15" fillId="0" fontId="29" numFmtId="0" xfId="0" applyAlignment="1" applyBorder="1" applyFont="1">
      <alignment horizontal="center"/>
    </xf>
    <xf borderId="15" fillId="16" fontId="1" numFmtId="0" xfId="0" applyAlignment="1" applyBorder="1" applyFont="1">
      <alignment horizontal="center" readingOrder="0"/>
    </xf>
    <xf borderId="13" fillId="17" fontId="1" numFmtId="0" xfId="0" applyAlignment="1" applyBorder="1" applyFont="1">
      <alignment horizontal="center" readingOrder="0"/>
    </xf>
    <xf borderId="15" fillId="5" fontId="1" numFmtId="0" xfId="0" applyAlignment="1" applyBorder="1" applyFont="1">
      <alignment horizontal="center" readingOrder="0"/>
    </xf>
    <xf borderId="9" fillId="12" fontId="3" numFmtId="0" xfId="0" applyAlignment="1" applyBorder="1" applyFont="1">
      <alignment horizontal="center"/>
    </xf>
    <xf borderId="6" fillId="13" fontId="1" numFmtId="0" xfId="0" applyAlignment="1" applyBorder="1" applyFont="1">
      <alignment horizontal="center"/>
    </xf>
    <xf borderId="8" fillId="13" fontId="1" numFmtId="0" xfId="0" applyAlignment="1" applyBorder="1" applyFont="1">
      <alignment horizontal="center"/>
    </xf>
    <xf borderId="6" fillId="14" fontId="1" numFmtId="0" xfId="0" applyAlignment="1" applyBorder="1" applyFont="1">
      <alignment horizontal="center"/>
    </xf>
    <xf borderId="8" fillId="14" fontId="1" numFmtId="0" xfId="0" applyAlignment="1" applyBorder="1" applyFont="1">
      <alignment horizontal="center"/>
    </xf>
    <xf borderId="6" fillId="9" fontId="1" numFmtId="0" xfId="0" applyAlignment="1" applyBorder="1" applyFont="1">
      <alignment horizontal="center"/>
    </xf>
    <xf borderId="8" fillId="9" fontId="1" numFmtId="0" xfId="0" applyAlignment="1" applyBorder="1" applyFont="1">
      <alignment horizontal="center"/>
    </xf>
    <xf borderId="6" fillId="15" fontId="1" numFmtId="0" xfId="0" applyAlignment="1" applyBorder="1" applyFont="1">
      <alignment horizontal="center"/>
    </xf>
    <xf borderId="8" fillId="15" fontId="1" numFmtId="0" xfId="0" applyAlignment="1" applyBorder="1" applyFont="1">
      <alignment horizontal="center"/>
    </xf>
    <xf borderId="6" fillId="16" fontId="1" numFmtId="0" xfId="0" applyAlignment="1" applyBorder="1" applyFont="1">
      <alignment horizontal="center"/>
    </xf>
    <xf borderId="8" fillId="16" fontId="1" numFmtId="0" xfId="0" applyAlignment="1" applyBorder="1" applyFont="1">
      <alignment horizontal="center"/>
    </xf>
    <xf borderId="6" fillId="17" fontId="1" numFmtId="0" xfId="0" applyAlignment="1" applyBorder="1" applyFont="1">
      <alignment horizontal="center"/>
    </xf>
    <xf borderId="8" fillId="17" fontId="1" numFmtId="0" xfId="0" applyAlignment="1" applyBorder="1" applyFont="1">
      <alignment horizontal="center" readingOrder="0"/>
    </xf>
    <xf borderId="6" fillId="5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6" fillId="8" fontId="1" numFmtId="0" xfId="0" applyAlignment="1" applyBorder="1" applyFont="1">
      <alignment horizontal="center"/>
    </xf>
    <xf borderId="8" fillId="8" fontId="1" numFmtId="0" xfId="0" applyAlignment="1" applyBorder="1" applyFont="1">
      <alignment horizontal="center"/>
    </xf>
    <xf borderId="6" fillId="10" fontId="1" numFmtId="0" xfId="0" applyAlignment="1" applyBorder="1" applyFont="1">
      <alignment horizontal="center"/>
    </xf>
    <xf borderId="8" fillId="10" fontId="1" numFmtId="0" xfId="0" applyAlignment="1" applyBorder="1" applyFont="1">
      <alignment horizontal="center"/>
    </xf>
    <xf borderId="6" fillId="18" fontId="1" numFmtId="0" xfId="0" applyAlignment="1" applyBorder="1" applyFont="1">
      <alignment horizontal="center"/>
    </xf>
    <xf borderId="8" fillId="18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13" fillId="14" fontId="1" numFmtId="0" xfId="0" applyAlignment="1" applyBorder="1" applyFont="1">
      <alignment horizontal="center" readingOrder="0"/>
    </xf>
    <xf borderId="6" fillId="14" fontId="1" numFmtId="0" xfId="0" applyAlignment="1" applyBorder="1" applyFont="1">
      <alignment horizontal="center" readingOrder="0"/>
    </xf>
    <xf borderId="8" fillId="17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5" fontId="1" numFmtId="0" xfId="0" applyAlignment="1" applyBorder="1" applyFont="1">
      <alignment horizontal="center" readingOrder="0"/>
    </xf>
    <xf borderId="15" fillId="7" fontId="1" numFmtId="0" xfId="0" applyAlignment="1" applyBorder="1" applyFont="1">
      <alignment horizontal="center"/>
    </xf>
    <xf borderId="14" fillId="12" fontId="3" numFmtId="167" xfId="0" applyAlignment="1" applyBorder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" numFmtId="0" xfId="0" applyFont="1"/>
    <xf borderId="0" fillId="0" fontId="1" numFmtId="169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4" fillId="5" fontId="12" numFmtId="0" xfId="0" applyAlignment="1" applyBorder="1" applyFont="1">
      <alignment horizontal="center" readingOrder="0" textRotation="45" vertical="center"/>
    </xf>
    <xf borderId="4" fillId="5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9" fillId="5" fontId="30" numFmtId="0" xfId="0" applyAlignment="1" applyBorder="1" applyFont="1">
      <alignment horizontal="center" readingOrder="0" vertical="center"/>
    </xf>
    <xf borderId="14" fillId="5" fontId="23" numFmtId="0" xfId="0" applyAlignment="1" applyBorder="1" applyFont="1">
      <alignment horizontal="center" readingOrder="0"/>
    </xf>
    <xf borderId="13" fillId="0" fontId="3" numFmtId="170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4" fillId="0" fontId="1" numFmtId="171" xfId="0" applyAlignment="1" applyBorder="1" applyFont="1" applyNumberFormat="1">
      <alignment horizontal="center" readingOrder="0"/>
    </xf>
    <xf borderId="4" fillId="0" fontId="15" numFmtId="0" xfId="0" applyAlignment="1" applyBorder="1" applyFont="1">
      <alignment horizontal="center" readingOrder="0"/>
    </xf>
    <xf borderId="2" fillId="0" fontId="15" numFmtId="170" xfId="0" applyAlignment="1" applyBorder="1" applyFont="1" applyNumberFormat="1">
      <alignment horizontal="center" readingOrder="0"/>
    </xf>
    <xf borderId="1" fillId="17" fontId="15" numFmtId="0" xfId="0" applyAlignment="1" applyBorder="1" applyFont="1">
      <alignment readingOrder="0"/>
    </xf>
    <xf borderId="2" fillId="17" fontId="15" numFmtId="0" xfId="0" applyAlignment="1" applyBorder="1" applyFont="1">
      <alignment horizontal="center"/>
    </xf>
    <xf borderId="3" fillId="17" fontId="15" numFmtId="0" xfId="0" applyAlignment="1" applyBorder="1" applyFont="1">
      <alignment readingOrder="0"/>
    </xf>
    <xf borderId="13" fillId="0" fontId="3" numFmtId="171" xfId="0" applyAlignment="1" applyBorder="1" applyFont="1" applyNumberFormat="1">
      <alignment horizontal="center" readingOrder="0"/>
    </xf>
    <xf borderId="13" fillId="17" fontId="15" numFmtId="0" xfId="0" applyAlignment="1" applyBorder="1" applyFont="1">
      <alignment readingOrder="0"/>
    </xf>
    <xf borderId="0" fillId="17" fontId="15" numFmtId="0" xfId="0" applyAlignment="1" applyFont="1">
      <alignment horizontal="center"/>
    </xf>
    <xf borderId="15" fillId="17" fontId="15" numFmtId="0" xfId="0" applyAlignment="1" applyBorder="1" applyFont="1">
      <alignment readingOrder="0"/>
    </xf>
    <xf borderId="13" fillId="8" fontId="15" numFmtId="0" xfId="0" applyAlignment="1" applyBorder="1" applyFont="1">
      <alignment readingOrder="0"/>
    </xf>
    <xf borderId="15" fillId="8" fontId="15" numFmtId="0" xfId="0" applyAlignment="1" applyBorder="1" applyFont="1">
      <alignment readingOrder="0"/>
    </xf>
    <xf borderId="13" fillId="0" fontId="1" numFmtId="171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center" readingOrder="0"/>
    </xf>
    <xf borderId="13" fillId="4" fontId="15" numFmtId="0" xfId="0" applyAlignment="1" applyBorder="1" applyFont="1">
      <alignment readingOrder="0"/>
    </xf>
    <xf borderId="15" fillId="4" fontId="15" numFmtId="0" xfId="0" applyAlignment="1" applyBorder="1" applyFont="1">
      <alignment readingOrder="0"/>
    </xf>
    <xf borderId="13" fillId="19" fontId="15" numFmtId="0" xfId="0" applyAlignment="1" applyBorder="1" applyFill="1" applyFont="1">
      <alignment readingOrder="0"/>
    </xf>
    <xf borderId="15" fillId="19" fontId="15" numFmtId="0" xfId="0" applyAlignment="1" applyBorder="1" applyFont="1">
      <alignment readingOrder="0"/>
    </xf>
    <xf borderId="13" fillId="0" fontId="9" numFmtId="0" xfId="0" applyBorder="1" applyFont="1"/>
    <xf borderId="0" fillId="0" fontId="9" numFmtId="0" xfId="0" applyFont="1"/>
    <xf borderId="1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15" fillId="0" fontId="1" numFmtId="0" xfId="0" applyAlignment="1" applyBorder="1" applyFont="1">
      <alignment readingOrder="0"/>
    </xf>
    <xf borderId="13" fillId="0" fontId="19" numFmtId="0" xfId="0" applyBorder="1" applyFont="1"/>
    <xf borderId="13" fillId="0" fontId="1" numFmtId="165" xfId="0" applyAlignment="1" applyBorder="1" applyFont="1" applyNumberFormat="1">
      <alignment horizontal="center" readingOrder="0"/>
    </xf>
    <xf borderId="13" fillId="0" fontId="1" numFmtId="166" xfId="0" applyAlignment="1" applyBorder="1" applyFont="1" applyNumberFormat="1">
      <alignment horizontal="center" readingOrder="0"/>
    </xf>
    <xf borderId="15" fillId="0" fontId="1" numFmtId="3" xfId="0" applyAlignment="1" applyBorder="1" applyFont="1" applyNumberFormat="1">
      <alignment readingOrder="0"/>
    </xf>
    <xf borderId="6" fillId="0" fontId="19" numFmtId="0" xfId="0" applyBorder="1" applyFont="1"/>
    <xf borderId="1" fillId="0" fontId="31" numFmtId="0" xfId="0" applyAlignment="1" applyBorder="1" applyFont="1">
      <alignment horizontal="center" readingOrder="0" vertical="center"/>
    </xf>
    <xf borderId="6" fillId="0" fontId="7" numFmtId="0" xfId="0" applyBorder="1" applyFont="1"/>
    <xf borderId="10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readingOrder="0" vertical="center"/>
    </xf>
    <xf borderId="1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3" fillId="0" fontId="7" numFmtId="0" xfId="0" applyBorder="1" applyFont="1"/>
    <xf borderId="15" fillId="0" fontId="7" numFmtId="0" xfId="0" applyBorder="1" applyFont="1"/>
    <xf borderId="14" fillId="0" fontId="7" numFmtId="0" xfId="0" applyBorder="1" applyFont="1"/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readingOrder="0"/>
    </xf>
    <xf borderId="14" fillId="5" fontId="22" numFmtId="0" xfId="0" applyAlignment="1" applyBorder="1" applyFont="1">
      <alignment horizontal="center" readingOrder="0"/>
    </xf>
    <xf borderId="0" fillId="17" fontId="15" numFmtId="0" xfId="0" applyAlignment="1" applyFont="1">
      <alignment horizontal="center" readingOrder="0"/>
    </xf>
    <xf borderId="13" fillId="0" fontId="32" numFmtId="170" xfId="0" applyAlignment="1" applyBorder="1" applyFont="1" applyNumberFormat="1">
      <alignment horizontal="center" readingOrder="0"/>
    </xf>
    <xf borderId="0" fillId="0" fontId="33" numFmtId="0" xfId="0" applyAlignment="1" applyFont="1">
      <alignment horizontal="center" readingOrder="0"/>
    </xf>
    <xf borderId="15" fillId="0" fontId="3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readingOrder="0" vertical="center"/>
    </xf>
    <xf borderId="15" fillId="0" fontId="33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 vertical="center"/>
    </xf>
    <xf borderId="13" fillId="0" fontId="15" numFmtId="0" xfId="0" applyBorder="1" applyFont="1"/>
    <xf borderId="0" fillId="0" fontId="15" numFmtId="0" xfId="0" applyAlignment="1" applyFont="1">
      <alignment horizontal="center"/>
    </xf>
    <xf borderId="15" fillId="0" fontId="15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4" fillId="0" fontId="1" numFmtId="0" xfId="0" applyBorder="1" applyFont="1"/>
    <xf borderId="1" fillId="0" fontId="1" numFmtId="0" xfId="0" applyAlignment="1" applyBorder="1" applyFont="1">
      <alignment horizontal="center" vertical="center"/>
    </xf>
    <xf borderId="6" fillId="0" fontId="1" numFmtId="0" xfId="0" applyBorder="1" applyFont="1"/>
    <xf borderId="5" fillId="0" fontId="1" numFmtId="0" xfId="0" applyBorder="1" applyFont="1"/>
    <xf borderId="5" fillId="0" fontId="34" numFmtId="0" xfId="0" applyAlignment="1" applyBorder="1" applyFont="1">
      <alignment horizontal="center" readingOrder="0"/>
    </xf>
    <xf borderId="15" fillId="0" fontId="29" numFmtId="0" xfId="0" applyAlignment="1" applyBorder="1" applyFont="1">
      <alignment horizontal="center" readingOrder="0"/>
    </xf>
    <xf borderId="13" fillId="0" fontId="1" numFmtId="170" xfId="0" applyAlignment="1" applyBorder="1" applyFont="1" applyNumberFormat="1">
      <alignment horizontal="center" readingOrder="0"/>
    </xf>
    <xf borderId="3" fillId="5" fontId="35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horizontal="center" readingOrder="0"/>
    </xf>
    <xf borderId="13" fillId="0" fontId="3" numFmtId="170" xfId="0" applyAlignment="1" applyBorder="1" applyFont="1" applyNumberFormat="1">
      <alignment horizontal="center" readingOrder="0"/>
    </xf>
    <xf borderId="2" fillId="17" fontId="24" numFmtId="0" xfId="0" applyAlignment="1" applyBorder="1" applyFont="1">
      <alignment horizontal="center"/>
    </xf>
    <xf borderId="0" fillId="17" fontId="24" numFmtId="0" xfId="0" applyAlignment="1" applyFont="1">
      <alignment horizontal="center"/>
    </xf>
    <xf borderId="0" fillId="0" fontId="24" numFmtId="0" xfId="0" applyAlignment="1" applyFont="1">
      <alignment horizontal="center"/>
    </xf>
    <xf borderId="15" fillId="0" fontId="29" numFmtId="0" xfId="0" applyAlignment="1" applyBorder="1" applyFont="1">
      <alignment horizontal="center" readingOrder="0"/>
    </xf>
    <xf borderId="1" fillId="20" fontId="31" numFmtId="0" xfId="0" applyAlignment="1" applyBorder="1" applyFill="1" applyFont="1">
      <alignment horizontal="center" readingOrder="0" vertical="center"/>
    </xf>
    <xf borderId="2" fillId="20" fontId="7" numFmtId="0" xfId="0" applyBorder="1" applyFont="1"/>
    <xf borderId="3" fillId="20" fontId="7" numFmtId="0" xfId="0" applyBorder="1" applyFont="1"/>
    <xf borderId="4" fillId="20" fontId="1" numFmtId="0" xfId="0" applyBorder="1" applyFont="1"/>
    <xf borderId="6" fillId="7" fontId="7" numFmtId="0" xfId="0" applyBorder="1" applyFont="1"/>
    <xf borderId="7" fillId="7" fontId="7" numFmtId="0" xfId="0" applyBorder="1" applyFont="1"/>
    <xf borderId="8" fillId="7" fontId="7" numFmtId="0" xfId="0" applyBorder="1" applyFont="1"/>
    <xf borderId="10" fillId="21" fontId="3" numFmtId="0" xfId="0" applyAlignment="1" applyBorder="1" applyFill="1" applyFont="1">
      <alignment horizontal="center" readingOrder="0" vertical="center"/>
    </xf>
    <xf borderId="11" fillId="21" fontId="7" numFmtId="0" xfId="0" applyBorder="1" applyFont="1"/>
    <xf borderId="12" fillId="21" fontId="7" numFmtId="0" xfId="0" applyBorder="1" applyFont="1"/>
    <xf borderId="5" fillId="21" fontId="3" numFmtId="0" xfId="0" applyAlignment="1" applyBorder="1" applyFont="1">
      <alignment horizontal="center" readingOrder="0" vertical="center"/>
    </xf>
    <xf borderId="10" fillId="21" fontId="3" numFmtId="0" xfId="0" applyAlignment="1" applyBorder="1" applyFont="1">
      <alignment readingOrder="0" vertical="center"/>
    </xf>
    <xf borderId="11" fillId="21" fontId="3" numFmtId="0" xfId="0" applyAlignment="1" applyBorder="1" applyFont="1">
      <alignment horizontal="center" readingOrder="0" vertical="center"/>
    </xf>
    <xf borderId="5" fillId="21" fontId="1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 vertical="center"/>
    </xf>
    <xf borderId="2" fillId="7" fontId="7" numFmtId="0" xfId="0" applyBorder="1" applyFont="1"/>
    <xf borderId="3" fillId="7" fontId="7" numFmtId="0" xfId="0" applyBorder="1" applyFont="1"/>
    <xf borderId="4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vertical="center"/>
    </xf>
    <xf borderId="5" fillId="7" fontId="3" numFmtId="0" xfId="0" applyAlignment="1" applyBorder="1" applyFont="1">
      <alignment horizontal="center" readingOrder="0" vertical="center"/>
    </xf>
    <xf borderId="10" fillId="7" fontId="3" numFmtId="0" xfId="0" applyAlignment="1" applyBorder="1" applyFont="1">
      <alignment horizontal="center" vertical="center"/>
    </xf>
    <xf borderId="12" fillId="7" fontId="7" numFmtId="0" xfId="0" applyBorder="1" applyFont="1"/>
    <xf borderId="4" fillId="7" fontId="1" numFmtId="0" xfId="0" applyAlignment="1" applyBorder="1" applyFont="1">
      <alignment horizontal="center" vertical="center"/>
    </xf>
    <xf borderId="13" fillId="21" fontId="7" numFmtId="0" xfId="0" applyBorder="1" applyFont="1"/>
    <xf borderId="15" fillId="21" fontId="7" numFmtId="0" xfId="0" applyBorder="1" applyFont="1"/>
    <xf borderId="14" fillId="21" fontId="7" numFmtId="0" xfId="0" applyBorder="1" applyFont="1"/>
    <xf borderId="13" fillId="21" fontId="3" numFmtId="0" xfId="0" applyAlignment="1" applyBorder="1" applyFont="1">
      <alignment vertical="center"/>
    </xf>
    <xf borderId="5" fillId="21" fontId="34" numFmtId="0" xfId="0" applyAlignment="1" applyBorder="1" applyFont="1">
      <alignment horizontal="center" readingOrder="0" vertical="center"/>
    </xf>
    <xf borderId="10" fillId="21" fontId="3" numFmtId="0" xfId="0" applyAlignment="1" applyBorder="1" applyFont="1">
      <alignment horizontal="center" vertical="center"/>
    </xf>
    <xf borderId="13" fillId="7" fontId="7" numFmtId="0" xfId="0" applyBorder="1" applyFont="1"/>
    <xf borderId="15" fillId="7" fontId="7" numFmtId="0" xfId="0" applyBorder="1" applyFont="1"/>
    <xf borderId="13" fillId="7" fontId="3" numFmtId="0" xfId="0" applyAlignment="1" applyBorder="1" applyFont="1">
      <alignment vertical="center"/>
    </xf>
    <xf borderId="5" fillId="7" fontId="34" numFmtId="0" xfId="0" applyAlignment="1" applyBorder="1" applyFont="1">
      <alignment horizontal="center" readingOrder="0" vertical="center"/>
    </xf>
    <xf borderId="6" fillId="21" fontId="7" numFmtId="0" xfId="0" applyBorder="1" applyFont="1"/>
    <xf borderId="7" fillId="21" fontId="7" numFmtId="0" xfId="0" applyBorder="1" applyFont="1"/>
    <xf borderId="8" fillId="21" fontId="7" numFmtId="0" xfId="0" applyBorder="1" applyFont="1"/>
    <xf borderId="9" fillId="21" fontId="7" numFmtId="0" xfId="0" applyBorder="1" applyFont="1"/>
    <xf borderId="6" fillId="21" fontId="3" numFmtId="0" xfId="0" applyAlignment="1" applyBorder="1" applyFont="1">
      <alignment vertical="center"/>
    </xf>
    <xf borderId="1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vertical="center"/>
    </xf>
    <xf borderId="5" fillId="7" fontId="1" numFmtId="0" xfId="0" applyAlignment="1" applyBorder="1" applyFont="1">
      <alignment horizontal="center" readingOrder="0" vertical="center"/>
    </xf>
    <xf borderId="10" fillId="7" fontId="1" numFmtId="0" xfId="0" applyAlignment="1" applyBorder="1" applyFont="1">
      <alignment horizontal="center" vertical="center"/>
    </xf>
    <xf borderId="13" fillId="21" fontId="1" numFmtId="0" xfId="0" applyAlignment="1" applyBorder="1" applyFont="1">
      <alignment vertical="center"/>
    </xf>
    <xf borderId="5" fillId="21" fontId="1" numFmtId="0" xfId="0" applyAlignment="1" applyBorder="1" applyFont="1">
      <alignment horizontal="center" readingOrder="0" vertical="center"/>
    </xf>
    <xf borderId="10" fillId="21" fontId="1" numFmtId="0" xfId="0" applyAlignment="1" applyBorder="1" applyFont="1">
      <alignment horizontal="center" vertical="center"/>
    </xf>
    <xf borderId="13" fillId="7" fontId="1" numFmtId="0" xfId="0" applyAlignment="1" applyBorder="1" applyFont="1">
      <alignment vertical="center"/>
    </xf>
    <xf borderId="6" fillId="21" fontId="1" numFmtId="0" xfId="0" applyAlignment="1" applyBorder="1" applyFont="1">
      <alignment vertical="center"/>
    </xf>
    <xf borderId="5" fillId="7" fontId="9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vertical="center"/>
    </xf>
    <xf borderId="1" fillId="21" fontId="1" numFmtId="0" xfId="0" applyAlignment="1" applyBorder="1" applyFont="1">
      <alignment horizontal="center" readingOrder="0" vertical="center"/>
    </xf>
    <xf borderId="2" fillId="21" fontId="7" numFmtId="0" xfId="0" applyBorder="1" applyFont="1"/>
    <xf borderId="3" fillId="21" fontId="7" numFmtId="0" xfId="0" applyBorder="1" applyFont="1"/>
    <xf borderId="4" fillId="21" fontId="1" numFmtId="0" xfId="0" applyAlignment="1" applyBorder="1" applyFont="1">
      <alignment horizontal="center" readingOrder="0" vertical="center"/>
    </xf>
    <xf borderId="1" fillId="21" fontId="1" numFmtId="0" xfId="0" applyAlignment="1" applyBorder="1" applyFont="1">
      <alignment vertical="center"/>
    </xf>
    <xf borderId="4" fillId="21" fontId="1" numFmtId="0" xfId="0" applyBorder="1" applyFont="1"/>
    <xf borderId="4" fillId="21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4" fillId="7" fontId="1" numFmtId="0" xfId="0" applyBorder="1" applyFont="1"/>
    <xf borderId="1" fillId="21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6" fillId="21" fontId="1" numFmtId="0" xfId="0" applyBorder="1" applyFont="1"/>
    <xf borderId="2" fillId="21" fontId="1" numFmtId="0" xfId="0" applyAlignment="1" applyBorder="1" applyFont="1">
      <alignment horizontal="center" vertical="center"/>
    </xf>
    <xf borderId="5" fillId="21" fontId="34" numFmtId="0" xfId="0" applyAlignment="1" applyBorder="1" applyFont="1">
      <alignment horizontal="center" readingOrder="0"/>
    </xf>
    <xf borderId="11" fillId="21" fontId="1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Font="1"/>
    <xf borderId="14" fillId="0" fontId="33" numFmtId="171" xfId="0" applyAlignment="1" applyBorder="1" applyFont="1" applyNumberFormat="1">
      <alignment horizontal="center" readingOrder="0"/>
    </xf>
    <xf borderId="13" fillId="0" fontId="33" numFmtId="0" xfId="0" applyAlignment="1" applyBorder="1" applyFont="1">
      <alignment horizontal="center" readingOrder="0"/>
    </xf>
    <xf borderId="13" fillId="0" fontId="33" numFmtId="3" xfId="0" applyAlignment="1" applyBorder="1" applyFont="1" applyNumberFormat="1">
      <alignment horizontal="center" readingOrder="0"/>
    </xf>
    <xf borderId="14" fillId="0" fontId="33" numFmtId="0" xfId="0" applyAlignment="1" applyBorder="1" applyFont="1">
      <alignment horizontal="center" readingOrder="0"/>
    </xf>
    <xf borderId="8" fillId="17" fontId="15" numFmtId="0" xfId="0" applyAlignment="1" applyBorder="1" applyFont="1">
      <alignment readingOrder="0"/>
    </xf>
    <xf borderId="15" fillId="0" fontId="9" numFmtId="0" xfId="0" applyAlignment="1" applyBorder="1" applyFont="1">
      <alignment horizontal="center" readingOrder="0"/>
    </xf>
    <xf borderId="10" fillId="22" fontId="36" numFmtId="0" xfId="0" applyAlignment="1" applyBorder="1" applyFill="1" applyFont="1">
      <alignment horizontal="center" readingOrder="0" vertical="center"/>
    </xf>
    <xf borderId="5" fillId="22" fontId="36" numFmtId="0" xfId="0" applyAlignment="1" applyBorder="1" applyFont="1">
      <alignment horizontal="center" readingOrder="0" vertical="center"/>
    </xf>
    <xf borderId="10" fillId="22" fontId="36" numFmtId="0" xfId="0" applyAlignment="1" applyBorder="1" applyFont="1">
      <alignment readingOrder="0" vertical="center"/>
    </xf>
    <xf borderId="11" fillId="22" fontId="36" numFmtId="0" xfId="0" applyAlignment="1" applyBorder="1" applyFont="1">
      <alignment horizontal="center" readingOrder="0" vertical="center"/>
    </xf>
    <xf borderId="5" fillId="22" fontId="36" numFmtId="0" xfId="0" applyAlignment="1" applyBorder="1" applyFont="1">
      <alignment horizontal="center" readingOrder="0"/>
    </xf>
    <xf borderId="12" fillId="21" fontId="1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2" fillId="21" fontId="34" numFmtId="0" xfId="0" applyAlignment="1" applyBorder="1" applyFont="1">
      <alignment horizontal="center" readingOrder="0" vertical="center"/>
    </xf>
    <xf borderId="12" fillId="7" fontId="34" numFmtId="0" xfId="0" applyAlignment="1" applyBorder="1" applyFont="1">
      <alignment horizontal="center" readingOrder="0" vertical="center"/>
    </xf>
    <xf borderId="3" fillId="21" fontId="34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3" fillId="21" fontId="1" numFmtId="0" xfId="0" applyBorder="1" applyFont="1"/>
    <xf borderId="12" fillId="21" fontId="34" numFmtId="0" xfId="0" applyAlignment="1" applyBorder="1" applyFont="1">
      <alignment horizontal="center" readingOrder="0"/>
    </xf>
    <xf borderId="1" fillId="7" fontId="1" numFmtId="0" xfId="0" applyBorder="1" applyFont="1"/>
    <xf borderId="12" fillId="7" fontId="1" numFmtId="0" xfId="0" applyAlignment="1" applyBorder="1" applyFont="1">
      <alignment horizontal="center" readingOrder="0"/>
    </xf>
    <xf borderId="11" fillId="7" fontId="1" numFmtId="0" xfId="0" applyAlignment="1" applyBorder="1" applyFont="1">
      <alignment horizontal="center" vertical="center"/>
    </xf>
    <xf borderId="12" fillId="21" fontId="1" numFmtId="0" xfId="0" applyAlignment="1" applyBorder="1" applyFont="1">
      <alignment horizontal="center"/>
    </xf>
    <xf borderId="12" fillId="7" fontId="1" numFmtId="0" xfId="0" applyAlignment="1" applyBorder="1" applyFont="1">
      <alignment horizontal="center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center"/>
    </xf>
    <xf borderId="0" fillId="5" fontId="3" numFmtId="0" xfId="0" applyFont="1"/>
    <xf borderId="0" fillId="5" fontId="34" numFmtId="0" xfId="0" applyAlignment="1" applyFont="1">
      <alignment readingOrder="0"/>
    </xf>
    <xf borderId="0" fillId="5" fontId="34" numFmtId="0" xfId="0" applyAlignment="1" applyFont="1">
      <alignment horizontal="center"/>
    </xf>
    <xf borderId="0" fillId="5" fontId="34" numFmtId="0" xfId="0" applyFont="1"/>
    <xf borderId="0" fillId="5" fontId="1" numFmtId="0" xfId="0" applyAlignment="1" applyFont="1">
      <alignment readingOrder="0"/>
    </xf>
    <xf borderId="0" fillId="5" fontId="1" numFmtId="0" xfId="0" applyAlignment="1" applyFont="1">
      <alignment horizontal="center"/>
    </xf>
    <xf borderId="0" fillId="5" fontId="1" numFmtId="0" xfId="0" applyFont="1"/>
    <xf borderId="13" fillId="0" fontId="1" numFmtId="171" xfId="0" applyAlignment="1" applyBorder="1" applyFont="1" applyNumberFormat="1">
      <alignment horizontal="center" readingOrder="0"/>
    </xf>
    <xf borderId="6" fillId="23" fontId="37" numFmtId="0" xfId="0" applyAlignment="1" applyBorder="1" applyFill="1" applyFont="1">
      <alignment horizontal="center" readingOrder="0"/>
    </xf>
    <xf borderId="7" fillId="23" fontId="37" numFmtId="0" xfId="0" applyAlignment="1" applyBorder="1" applyFont="1">
      <alignment horizontal="center" readingOrder="0"/>
    </xf>
    <xf borderId="13" fillId="7" fontId="1" numFmtId="171" xfId="0" applyAlignment="1" applyBorder="1" applyFont="1" applyNumberFormat="1">
      <alignment horizontal="center" readingOrder="0"/>
    </xf>
    <xf borderId="13" fillId="21" fontId="1" numFmtId="171" xfId="0" applyAlignment="1" applyBorder="1" applyFont="1" applyNumberFormat="1">
      <alignment horizontal="center" readingOrder="0"/>
    </xf>
    <xf borderId="0" fillId="21" fontId="1" numFmtId="0" xfId="0" applyAlignment="1" applyFont="1">
      <alignment horizontal="center" readingOrder="0"/>
    </xf>
    <xf borderId="13" fillId="7" fontId="1" numFmtId="0" xfId="0" applyAlignment="1" applyBorder="1" applyFont="1">
      <alignment horizontal="center"/>
    </xf>
    <xf borderId="13" fillId="21" fontId="1" numFmtId="0" xfId="0" applyAlignment="1" applyBorder="1" applyFont="1">
      <alignment horizontal="center"/>
    </xf>
    <xf borderId="0" fillId="21" fontId="1" numFmtId="0" xfId="0" applyAlignment="1" applyFont="1">
      <alignment horizontal="center"/>
    </xf>
    <xf borderId="3" fillId="5" fontId="10" numFmtId="0" xfId="0" applyAlignment="1" applyBorder="1" applyFont="1">
      <alignment horizontal="center" readingOrder="0"/>
    </xf>
    <xf borderId="13" fillId="0" fontId="32" numFmtId="170" xfId="0" applyAlignment="1" applyBorder="1" applyFont="1" applyNumberFormat="1">
      <alignment horizontal="center" readingOrder="0"/>
    </xf>
    <xf borderId="0" fillId="0" fontId="33" numFmtId="0" xfId="0" applyAlignment="1" applyFont="1">
      <alignment horizontal="center" readingOrder="0"/>
    </xf>
    <xf borderId="15" fillId="0" fontId="33" numFmtId="0" xfId="0" applyAlignment="1" applyBorder="1" applyFont="1">
      <alignment horizontal="center" readingOrder="0"/>
    </xf>
    <xf borderId="6" fillId="21" fontId="1" numFmtId="0" xfId="0" applyAlignment="1" applyBorder="1" applyFont="1">
      <alignment horizontal="center"/>
    </xf>
    <xf borderId="7" fillId="21" fontId="1" numFmtId="0" xfId="0" applyAlignment="1" applyBorder="1" applyFont="1">
      <alignment horizontal="center"/>
    </xf>
    <xf borderId="3" fillId="5" fontId="3" numFmtId="3" xfId="0" applyAlignment="1" applyBorder="1" applyFont="1" applyNumberFormat="1">
      <alignment horizontal="center" readingOrder="0"/>
    </xf>
    <xf borderId="0" fillId="7" fontId="1" numFmtId="0" xfId="0" applyFont="1"/>
    <xf borderId="13" fillId="0" fontId="1" numFmtId="165" xfId="0" applyAlignment="1" applyBorder="1" applyFont="1" applyNumberFormat="1">
      <alignment readingOrder="0"/>
    </xf>
    <xf borderId="4" fillId="20" fontId="31" numFmtId="0" xfId="0" applyAlignment="1" applyBorder="1" applyFont="1">
      <alignment horizontal="center" readingOrder="0" vertical="center"/>
    </xf>
    <xf borderId="1" fillId="20" fontId="38" numFmtId="0" xfId="0" applyAlignment="1" applyBorder="1" applyFont="1">
      <alignment horizontal="center" readingOrder="0" vertical="center"/>
    </xf>
    <xf borderId="4" fillId="20" fontId="39" numFmtId="0" xfId="0" applyAlignment="1" applyBorder="1" applyFont="1">
      <alignment horizontal="center" readingOrder="0" vertical="center"/>
    </xf>
    <xf borderId="1" fillId="20" fontId="40" numFmtId="0" xfId="0" applyAlignment="1" applyBorder="1" applyFont="1">
      <alignment horizontal="center" readingOrder="0" vertical="center"/>
    </xf>
    <xf borderId="4" fillId="20" fontId="41" numFmtId="0" xfId="0" applyAlignment="1" applyBorder="1" applyFont="1">
      <alignment horizontal="center" vertical="center"/>
    </xf>
    <xf borderId="13" fillId="21" fontId="1" numFmtId="0" xfId="0" applyAlignment="1" applyBorder="1" applyFont="1">
      <alignment horizontal="center" readingOrder="0" vertical="center"/>
    </xf>
    <xf borderId="10" fillId="21" fontId="1" numFmtId="0" xfId="0" applyAlignment="1" applyBorder="1" applyFont="1">
      <alignment horizontal="center" readingOrder="0" vertical="center"/>
    </xf>
    <xf borderId="6" fillId="21" fontId="1" numFmtId="0" xfId="0" applyAlignment="1" applyBorder="1" applyFont="1">
      <alignment horizontal="center" vertical="center"/>
    </xf>
    <xf borderId="13" fillId="21" fontId="1" numFmtId="0" xfId="0" applyAlignment="1" applyBorder="1" applyFont="1">
      <alignment horizontal="center" vertical="center"/>
    </xf>
    <xf borderId="1" fillId="7" fontId="42" numFmtId="0" xfId="0" applyAlignment="1" applyBorder="1" applyFont="1">
      <alignment horizontal="center" readingOrder="0" vertical="center"/>
    </xf>
    <xf borderId="5" fillId="7" fontId="42" numFmtId="0" xfId="0" applyAlignment="1" applyBorder="1" applyFont="1">
      <alignment horizontal="center" readingOrder="0" vertical="center"/>
    </xf>
    <xf borderId="13" fillId="21" fontId="42" numFmtId="0" xfId="0" applyAlignment="1" applyBorder="1" applyFont="1">
      <alignment horizontal="center" vertical="center"/>
    </xf>
    <xf borderId="5" fillId="21" fontId="42" numFmtId="0" xfId="0" applyAlignment="1" applyBorder="1" applyFont="1">
      <alignment horizontal="center" vertical="center"/>
    </xf>
    <xf borderId="13" fillId="7" fontId="42" numFmtId="0" xfId="0" applyAlignment="1" applyBorder="1" applyFont="1">
      <alignment horizontal="center" vertical="center"/>
    </xf>
    <xf borderId="5" fillId="7" fontId="42" numFmtId="0" xfId="0" applyAlignment="1" applyBorder="1" applyFont="1">
      <alignment horizontal="center" vertical="center"/>
    </xf>
    <xf borderId="6" fillId="21" fontId="42" numFmtId="0" xfId="0" applyAlignment="1" applyBorder="1" applyFont="1">
      <alignment horizontal="center" vertical="center"/>
    </xf>
    <xf borderId="13" fillId="21" fontId="42" numFmtId="0" xfId="0" applyAlignment="1" applyBorder="1" applyFont="1">
      <alignment horizontal="center" readingOrder="0" vertical="center"/>
    </xf>
    <xf borderId="5" fillId="21" fontId="42" numFmtId="0" xfId="0" applyAlignment="1" applyBorder="1" applyFont="1">
      <alignment horizontal="center" readingOrder="0" vertical="center"/>
    </xf>
    <xf borderId="13" fillId="7" fontId="42" numFmtId="0" xfId="0" applyAlignment="1" applyBorder="1" applyFont="1">
      <alignment horizontal="center" readingOrder="0" vertical="center"/>
    </xf>
    <xf borderId="6" fillId="21" fontId="42" numFmtId="0" xfId="0" applyAlignment="1" applyBorder="1" applyFont="1">
      <alignment horizontal="center" readingOrder="0" vertical="center"/>
    </xf>
    <xf borderId="13" fillId="7" fontId="3" numFmtId="171" xfId="0" applyAlignment="1" applyBorder="1" applyFont="1" applyNumberFormat="1">
      <alignment horizontal="center" readingOrder="0"/>
    </xf>
    <xf borderId="0" fillId="7" fontId="3" numFmtId="0" xfId="0" applyAlignment="1" applyFont="1">
      <alignment horizontal="center" readingOrder="0"/>
    </xf>
    <xf borderId="13" fillId="0" fontId="33" numFmtId="166" xfId="0" applyAlignment="1" applyBorder="1" applyFont="1" applyNumberFormat="1">
      <alignment horizontal="center" readingOrder="0"/>
    </xf>
    <xf borderId="15" fillId="0" fontId="33" numFmtId="0" xfId="0" applyAlignment="1" applyBorder="1" applyFont="1">
      <alignment readingOrder="0"/>
    </xf>
    <xf borderId="12" fillId="21" fontId="1" numFmtId="0" xfId="0" applyAlignment="1" applyBorder="1" applyFont="1">
      <alignment horizontal="center" readingOrder="0"/>
    </xf>
    <xf borderId="5" fillId="7" fontId="43" numFmtId="0" xfId="0" applyAlignment="1" applyBorder="1" applyFont="1">
      <alignment horizontal="center" readingOrder="0" vertical="center"/>
    </xf>
    <xf borderId="5" fillId="21" fontId="43" numFmtId="0" xfId="0" applyAlignment="1" applyBorder="1" applyFont="1">
      <alignment horizontal="center" readingOrder="0" vertical="center"/>
    </xf>
    <xf borderId="13" fillId="0" fontId="33" numFmtId="165" xfId="0" applyAlignment="1" applyBorder="1" applyFont="1" applyNumberFormat="1">
      <alignment readingOrder="0"/>
    </xf>
    <xf borderId="0" fillId="0" fontId="33" numFmtId="0" xfId="0" applyAlignment="1" applyFont="1">
      <alignment readingOrder="0"/>
    </xf>
    <xf borderId="15" fillId="0" fontId="33" numFmtId="3" xfId="0" applyAlignment="1" applyBorder="1" applyFont="1" applyNumberFormat="1">
      <alignment readingOrder="0"/>
    </xf>
    <xf borderId="4" fillId="20" fontId="1" numFmtId="0" xfId="0" applyAlignment="1" applyBorder="1" applyFont="1">
      <alignment horizontal="center" readingOrder="0" shrinkToFit="0" vertical="center" wrapText="1"/>
    </xf>
    <xf borderId="4" fillId="7" fontId="24" numFmtId="0" xfId="0" applyAlignment="1" applyBorder="1" applyFont="1">
      <alignment horizontal="center" vertical="center"/>
    </xf>
    <xf borderId="14" fillId="21" fontId="24" numFmtId="0" xfId="0" applyAlignment="1" applyBorder="1" applyFont="1">
      <alignment horizontal="center" vertical="center"/>
    </xf>
    <xf borderId="14" fillId="7" fontId="24" numFmtId="0" xfId="0" applyAlignment="1" applyBorder="1" applyFont="1">
      <alignment horizontal="center" vertical="center"/>
    </xf>
    <xf borderId="14" fillId="7" fontId="24" numFmtId="0" xfId="0" applyBorder="1" applyFont="1"/>
    <xf borderId="14" fillId="21" fontId="24" numFmtId="0" xfId="0" applyBorder="1" applyFont="1"/>
    <xf borderId="9" fillId="21" fontId="24" numFmtId="0" xfId="0" applyBorder="1" applyFont="1"/>
    <xf borderId="0" fillId="0" fontId="44" numFmtId="0" xfId="0" applyAlignment="1" applyFont="1">
      <alignment horizontal="center" readingOrder="0" vertical="center"/>
    </xf>
    <xf borderId="13" fillId="5" fontId="20" numFmtId="0" xfId="0" applyAlignment="1" applyBorder="1" applyFont="1">
      <alignment horizontal="center" readingOrder="0"/>
    </xf>
    <xf borderId="0" fillId="5" fontId="20" numFmtId="0" xfId="0" applyAlignment="1" applyFont="1">
      <alignment horizontal="center" readingOrder="0"/>
    </xf>
    <xf borderId="15" fillId="5" fontId="20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 readingOrder="0"/>
    </xf>
    <xf borderId="11" fillId="0" fontId="15" numFmtId="170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10" fillId="0" fontId="19" numFmtId="0" xfId="0" applyBorder="1" applyFont="1"/>
    <xf borderId="5" fillId="0" fontId="19" numFmtId="0" xfId="0" applyBorder="1" applyFont="1"/>
    <xf borderId="5" fillId="0" fontId="1" numFmtId="0" xfId="0" applyAlignment="1" applyBorder="1" applyFont="1">
      <alignment horizontal="center" readingOrder="0"/>
    </xf>
    <xf borderId="13" fillId="0" fontId="3" numFmtId="165" xfId="0" applyAlignment="1" applyBorder="1" applyFont="1" applyNumberFormat="1">
      <alignment horizontal="left" readingOrder="0"/>
    </xf>
    <xf borderId="13" fillId="0" fontId="1" numFmtId="166" xfId="0" applyAlignment="1" applyBorder="1" applyFont="1" applyNumberFormat="1">
      <alignment horizontal="left" readingOrder="0"/>
    </xf>
    <xf borderId="0" fillId="0" fontId="1" numFmtId="3" xfId="0" applyAlignment="1" applyFont="1" applyNumberFormat="1">
      <alignment horizontal="center" readingOrder="0"/>
    </xf>
    <xf borderId="6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center" readingOrder="0"/>
    </xf>
    <xf borderId="2" fillId="7" fontId="1" numFmtId="0" xfId="0" applyAlignment="1" applyBorder="1" applyFont="1">
      <alignment vertical="center"/>
    </xf>
    <xf borderId="3" fillId="7" fontId="34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vertical="center"/>
    </xf>
    <xf borderId="0" fillId="21" fontId="1" numFmtId="0" xfId="0" applyFont="1"/>
    <xf borderId="15" fillId="21" fontId="34" numFmtId="0" xfId="0" applyAlignment="1" applyBorder="1" applyFont="1">
      <alignment horizontal="center" readingOrder="0"/>
    </xf>
    <xf borderId="0" fillId="21" fontId="1" numFmtId="0" xfId="0" applyAlignment="1" applyFont="1">
      <alignment horizontal="center" vertical="center"/>
    </xf>
    <xf borderId="0" fillId="7" fontId="1" numFmtId="0" xfId="0" applyAlignment="1" applyFont="1">
      <alignment vertical="center"/>
    </xf>
    <xf borderId="15" fillId="7" fontId="34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vertical="center"/>
    </xf>
    <xf borderId="15" fillId="7" fontId="1" numFmtId="0" xfId="0" applyAlignment="1" applyBorder="1" applyFont="1">
      <alignment horizontal="center" readingOrder="0"/>
    </xf>
    <xf borderId="3" fillId="21" fontId="1" numFmtId="0" xfId="0" applyAlignment="1" applyBorder="1" applyFont="1">
      <alignment horizontal="center" vertical="center"/>
    </xf>
    <xf borderId="2" fillId="21" fontId="1" numFmtId="0" xfId="0" applyBorder="1" applyFont="1"/>
    <xf borderId="3" fillId="21" fontId="1" numFmtId="0" xfId="0" applyAlignment="1" applyBorder="1" applyFont="1">
      <alignment horizontal="center" readingOrder="0"/>
    </xf>
    <xf borderId="15" fillId="21" fontId="24" numFmtId="0" xfId="0" applyAlignment="1" applyBorder="1" applyFont="1">
      <alignment horizontal="center" vertical="center"/>
    </xf>
    <xf borderId="15" fillId="7" fontId="24" numFmtId="0" xfId="0" applyAlignment="1" applyBorder="1" applyFont="1">
      <alignment horizontal="center" vertical="center"/>
    </xf>
    <xf borderId="3" fillId="21" fontId="1" numFmtId="0" xfId="0" applyAlignment="1" applyBorder="1" applyFont="1">
      <alignment horizontal="center"/>
    </xf>
    <xf borderId="7" fillId="0" fontId="1" numFmtId="0" xfId="0" applyBorder="1" applyFont="1"/>
    <xf borderId="10" fillId="24" fontId="45" numFmtId="0" xfId="0" applyAlignment="1" applyBorder="1" applyFill="1" applyFont="1">
      <alignment horizontal="center" readingOrder="0"/>
    </xf>
    <xf borderId="11" fillId="24" fontId="7" numFmtId="0" xfId="0" applyBorder="1" applyFont="1"/>
    <xf borderId="11" fillId="24" fontId="45" numFmtId="0" xfId="0" applyAlignment="1" applyBorder="1" applyFont="1">
      <alignment horizontal="center" readingOrder="0"/>
    </xf>
    <xf borderId="12" fillId="24" fontId="45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3" fillId="7" fontId="1" numFmtId="0" xfId="0" applyAlignment="1" applyBorder="1" applyFont="1">
      <alignment horizontal="center"/>
    </xf>
    <xf borderId="13" fillId="25" fontId="1" numFmtId="0" xfId="0" applyAlignment="1" applyBorder="1" applyFill="1" applyFont="1">
      <alignment horizontal="center" readingOrder="0"/>
    </xf>
    <xf borderId="0" fillId="25" fontId="1" numFmtId="171" xfId="0" applyAlignment="1" applyFont="1" applyNumberFormat="1">
      <alignment horizontal="center" readingOrder="0"/>
    </xf>
    <xf borderId="15" fillId="25" fontId="1" numFmtId="171" xfId="0" applyAlignment="1" applyBorder="1" applyFont="1" applyNumberFormat="1">
      <alignment horizontal="center" readingOrder="0"/>
    </xf>
    <xf borderId="13" fillId="7" fontId="1" numFmtId="0" xfId="0" applyAlignment="1" applyBorder="1" applyFont="1">
      <alignment horizontal="center" readingOrder="0"/>
    </xf>
    <xf borderId="0" fillId="7" fontId="1" numFmtId="171" xfId="0" applyAlignment="1" applyFont="1" applyNumberFormat="1">
      <alignment horizontal="center" readingOrder="0"/>
    </xf>
    <xf borderId="15" fillId="7" fontId="1" numFmtId="171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6" fillId="25" fontId="1" numFmtId="0" xfId="0" applyAlignment="1" applyBorder="1" applyFont="1">
      <alignment horizontal="center"/>
    </xf>
    <xf borderId="7" fillId="25" fontId="7" numFmtId="0" xfId="0" applyBorder="1" applyFont="1"/>
    <xf borderId="7" fillId="25" fontId="1" numFmtId="0" xfId="0" applyAlignment="1" applyBorder="1" applyFont="1">
      <alignment horizontal="center"/>
    </xf>
    <xf borderId="8" fillId="25" fontId="1" numFmtId="0" xfId="0" applyAlignment="1" applyBorder="1" applyFont="1">
      <alignment horizontal="center"/>
    </xf>
    <xf borderId="0" fillId="0" fontId="46" numFmtId="0" xfId="0" applyAlignment="1" applyFont="1">
      <alignment horizontal="center" readingOrder="0" vertical="center"/>
    </xf>
    <xf borderId="0" fillId="0" fontId="46" numFmtId="0" xfId="0" applyAlignment="1" applyFont="1">
      <alignment horizontal="center" readingOrder="0" vertical="center"/>
    </xf>
    <xf borderId="13" fillId="0" fontId="33" numFmtId="165" xfId="0" applyAlignment="1" applyBorder="1" applyFont="1" applyNumberFormat="1">
      <alignment horizontal="center" readingOrder="0"/>
    </xf>
    <xf borderId="8" fillId="0" fontId="1" numFmtId="0" xfId="0" applyAlignment="1" applyBorder="1" applyFont="1">
      <alignment readingOrder="0"/>
    </xf>
    <xf borderId="4" fillId="22" fontId="36" numFmtId="0" xfId="0" applyAlignment="1" applyBorder="1" applyFont="1">
      <alignment horizontal="center" readingOrder="0" vertical="center"/>
    </xf>
    <xf borderId="2" fillId="22" fontId="36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horizontal="center" vertical="center"/>
    </xf>
    <xf borderId="14" fillId="21" fontId="34" numFmtId="0" xfId="0" applyAlignment="1" applyBorder="1" applyFont="1">
      <alignment horizontal="center" readingOrder="0" vertical="center"/>
    </xf>
    <xf borderId="0" fillId="21" fontId="3" numFmtId="0" xfId="0" applyAlignment="1" applyFont="1">
      <alignment horizontal="center" vertical="center"/>
    </xf>
    <xf borderId="14" fillId="7" fontId="34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14" fillId="21" fontId="3" numFmtId="0" xfId="0" applyAlignment="1" applyBorder="1" applyFont="1">
      <alignment horizontal="center" readingOrder="0" vertical="center"/>
    </xf>
    <xf borderId="14" fillId="21" fontId="1" numFmtId="0" xfId="0" applyAlignment="1" applyBorder="1" applyFont="1">
      <alignment horizontal="center" readingOrder="0" vertical="center"/>
    </xf>
    <xf borderId="14" fillId="7" fontId="1" numFmtId="0" xfId="0" applyAlignment="1" applyBorder="1" applyFont="1">
      <alignment horizontal="center" readingOrder="0" vertical="center"/>
    </xf>
    <xf borderId="9" fillId="21" fontId="24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readingOrder="0" vertical="center"/>
    </xf>
    <xf borderId="9" fillId="7" fontId="24" numFmtId="0" xfId="0" applyAlignment="1" applyBorder="1" applyFont="1">
      <alignment horizontal="center" vertical="center"/>
    </xf>
    <xf borderId="4" fillId="21" fontId="34" numFmtId="0" xfId="0" applyAlignment="1" applyBorder="1" applyFont="1">
      <alignment horizontal="center" readingOrder="0" vertical="center"/>
    </xf>
    <xf borderId="4" fillId="21" fontId="24" numFmtId="0" xfId="0" applyAlignment="1" applyBorder="1" applyFont="1">
      <alignment horizontal="center" vertical="center"/>
    </xf>
    <xf borderId="4" fillId="7" fontId="34" numFmtId="0" xfId="0" applyAlignment="1" applyBorder="1" applyFont="1">
      <alignment horizontal="center" readingOrder="0" vertical="center"/>
    </xf>
    <xf borderId="14" fillId="21" fontId="34" numFmtId="0" xfId="0" applyAlignment="1" applyBorder="1" applyFont="1">
      <alignment horizontal="center" readingOrder="0"/>
    </xf>
    <xf borderId="4" fillId="21" fontId="1" numFmtId="0" xfId="0" applyAlignment="1" applyBorder="1" applyFont="1">
      <alignment horizontal="center" readingOrder="0"/>
    </xf>
    <xf borderId="14" fillId="7" fontId="1" numFmtId="0" xfId="0" applyAlignment="1" applyBorder="1" applyFont="1">
      <alignment horizontal="center"/>
    </xf>
    <xf borderId="4" fillId="21" fontId="1" numFmtId="0" xfId="0" applyAlignment="1" applyBorder="1" applyFont="1">
      <alignment horizontal="center"/>
    </xf>
    <xf borderId="9" fillId="0" fontId="1" numFmtId="0" xfId="0" applyBorder="1" applyFont="1"/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7F6000"/>
      </font>
      <fill>
        <patternFill patternType="none"/>
      </fill>
      <border/>
    </dxf>
    <dxf>
      <font>
        <color rgb="FF0C343D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  <tableStyles count="91">
    <tableStyle count="3" pivot="0" name="January 25-style">
      <tableStyleElement dxfId="1" type="headerRow"/>
      <tableStyleElement dxfId="2" type="firstRowStripe"/>
      <tableStyleElement dxfId="3" type="secondRowStripe"/>
    </tableStyle>
    <tableStyle count="2" pivot="0" name="January 25-style 2">
      <tableStyleElement dxfId="2" type="firstRowStripe"/>
      <tableStyleElement dxfId="4" type="secondRowStripe"/>
    </tableStyle>
    <tableStyle count="2" pivot="0" name="Feb 25-style">
      <tableStyleElement dxfId="2" type="firstRowStripe"/>
      <tableStyleElement dxfId="5" type="secondRowStripe"/>
    </tableStyle>
    <tableStyle count="2" pivot="0" name="Feb 25-style 2">
      <tableStyleElement dxfId="2" type="firstRowStripe"/>
      <tableStyleElement dxfId="6" type="secondRowStripe"/>
    </tableStyle>
    <tableStyle count="2" pivot="0" name="Feb 25-style 3">
      <tableStyleElement dxfId="2" type="firstRowStripe"/>
      <tableStyleElement dxfId="3" type="secondRowStripe"/>
    </tableStyle>
    <tableStyle count="2" pivot="0" name="Feb 25-style 4">
      <tableStyleElement dxfId="2" type="firstRowStripe"/>
      <tableStyleElement dxfId="7" type="secondRowStripe"/>
    </tableStyle>
    <tableStyle count="2" pivot="0" name="Feb 25-style 5">
      <tableStyleElement dxfId="2" type="firstRowStripe"/>
      <tableStyleElement dxfId="8" type="secondRowStripe"/>
    </tableStyle>
    <tableStyle count="2" pivot="0" name="March 25-style">
      <tableStyleElement dxfId="2" type="firstRowStripe"/>
      <tableStyleElement dxfId="5" type="secondRowStripe"/>
    </tableStyle>
    <tableStyle count="2" pivot="0" name="March 25-style 2">
      <tableStyleElement dxfId="2" type="firstRowStripe"/>
      <tableStyleElement dxfId="6" type="secondRowStripe"/>
    </tableStyle>
    <tableStyle count="2" pivot="0" name="March 25-style 3">
      <tableStyleElement dxfId="2" type="firstRowStripe"/>
      <tableStyleElement dxfId="3" type="secondRowStripe"/>
    </tableStyle>
    <tableStyle count="2" pivot="0" name="March 25-style 4">
      <tableStyleElement dxfId="2" type="firstRowStripe"/>
      <tableStyleElement dxfId="7" type="secondRowStripe"/>
    </tableStyle>
    <tableStyle count="2" pivot="0" name="March 25-style 5">
      <tableStyleElement dxfId="2" type="firstRowStripe"/>
      <tableStyleElement dxfId="8" type="secondRowStripe"/>
    </tableStyle>
    <tableStyle count="2" pivot="0" name="Apr 25-style">
      <tableStyleElement dxfId="2" type="firstRowStripe"/>
      <tableStyleElement dxfId="5" type="secondRowStripe"/>
    </tableStyle>
    <tableStyle count="2" pivot="0" name="Apr 25-style 2">
      <tableStyleElement dxfId="2" type="firstRowStripe"/>
      <tableStyleElement dxfId="6" type="secondRowStripe"/>
    </tableStyle>
    <tableStyle count="2" pivot="0" name="Apr 25-style 3">
      <tableStyleElement dxfId="2" type="firstRowStripe"/>
      <tableStyleElement dxfId="3" type="secondRowStripe"/>
    </tableStyle>
    <tableStyle count="2" pivot="0" name="Apr 25-style 4">
      <tableStyleElement dxfId="2" type="firstRowStripe"/>
      <tableStyleElement dxfId="7" type="secondRowStripe"/>
    </tableStyle>
    <tableStyle count="2" pivot="0" name="Apr 25-style 5">
      <tableStyleElement dxfId="2" type="firstRowStripe"/>
      <tableStyleElement dxfId="8" type="secondRowStripe"/>
    </tableStyle>
    <tableStyle count="4" pivot="0" name="data-style">
      <tableStyleElement dxfId="9" type="headerRow"/>
      <tableStyleElement dxfId="2" type="firstRowStripe"/>
      <tableStyleElement dxfId="10" type="secondRowStripe"/>
      <tableStyleElement dxfId="11" size="0" type="wholeTable"/>
    </tableStyle>
    <tableStyle count="2" pivot="0" name="June 25-style">
      <tableStyleElement dxfId="10" type="firstRowStripe"/>
      <tableStyleElement dxfId="3" type="secondRowStripe"/>
    </tableStyle>
    <tableStyle count="2" pivot="0" name="June 25-style 2">
      <tableStyleElement dxfId="2" type="firstRowStripe"/>
      <tableStyleElement dxfId="5" type="secondRowStripe"/>
    </tableStyle>
    <tableStyle count="2" pivot="0" name="June 25-style 3">
      <tableStyleElement dxfId="10" type="firstRowStripe"/>
      <tableStyleElement dxfId="3" type="secondRowStripe"/>
    </tableStyle>
    <tableStyle count="2" pivot="0" name="June 25-style 4">
      <tableStyleElement dxfId="2" type="firstRowStripe"/>
      <tableStyleElement dxfId="7" type="secondRowStripe"/>
    </tableStyle>
    <tableStyle count="2" pivot="0" name="June 25-style 5">
      <tableStyleElement dxfId="2" type="firstRowStripe"/>
      <tableStyleElement dxfId="8" type="secondRowStripe"/>
    </tableStyle>
    <tableStyle count="2" pivot="0" name="July 25-style">
      <tableStyleElement dxfId="10" type="firstRowStripe"/>
      <tableStyleElement dxfId="3" type="secondRowStripe"/>
    </tableStyle>
    <tableStyle count="2" pivot="0" name="July 25-style 2">
      <tableStyleElement dxfId="2" type="firstRowStripe"/>
      <tableStyleElement dxfId="5" type="secondRowStripe"/>
    </tableStyle>
    <tableStyle count="2" pivot="0" name="July 25-style 3">
      <tableStyleElement dxfId="10" type="firstRowStripe"/>
      <tableStyleElement dxfId="3" type="secondRowStripe"/>
    </tableStyle>
    <tableStyle count="2" pivot="0" name="July 25-style 4">
      <tableStyleElement dxfId="2" type="firstRowStripe"/>
      <tableStyleElement dxfId="7" type="secondRowStripe"/>
    </tableStyle>
    <tableStyle count="2" pivot="0" name="July 25-style 5">
      <tableStyleElement dxfId="2" type="firstRowStripe"/>
      <tableStyleElement dxfId="8" type="secondRowStripe"/>
    </tableStyle>
    <tableStyle count="2" pivot="0" name="Aug 25-style">
      <tableStyleElement dxfId="10" type="firstRowStripe"/>
      <tableStyleElement dxfId="3" type="secondRowStripe"/>
    </tableStyle>
    <tableStyle count="2" pivot="0" name="Aug 25-style 2">
      <tableStyleElement dxfId="2" type="firstRowStripe"/>
      <tableStyleElement dxfId="5" type="secondRowStripe"/>
    </tableStyle>
    <tableStyle count="2" pivot="0" name="Aug 25-style 3">
      <tableStyleElement dxfId="10" type="firstRowStripe"/>
      <tableStyleElement dxfId="3" type="secondRowStripe"/>
    </tableStyle>
    <tableStyle count="2" pivot="0" name="Aug 25-style 4">
      <tableStyleElement dxfId="2" type="firstRowStripe"/>
      <tableStyleElement dxfId="7" type="secondRowStripe"/>
    </tableStyle>
    <tableStyle count="2" pivot="0" name="Aug 25-style 5">
      <tableStyleElement dxfId="2" type="firstRowStripe"/>
      <tableStyleElement dxfId="8" type="secondRowStripe"/>
    </tableStyle>
    <tableStyle count="2" pivot="0" name="Sept 25-style">
      <tableStyleElement dxfId="10" type="firstRowStripe"/>
      <tableStyleElement dxfId="3" type="secondRowStripe"/>
    </tableStyle>
    <tableStyle count="2" pivot="0" name="Sept 25-style 2">
      <tableStyleElement dxfId="2" type="firstRowStripe"/>
      <tableStyleElement dxfId="5" type="secondRowStripe"/>
    </tableStyle>
    <tableStyle count="2" pivot="0" name="Sept 25-style 3">
      <tableStyleElement dxfId="10" type="firstRowStripe"/>
      <tableStyleElement dxfId="3" type="secondRowStripe"/>
    </tableStyle>
    <tableStyle count="2" pivot="0" name="Sept 25-style 4">
      <tableStyleElement dxfId="2" type="firstRowStripe"/>
      <tableStyleElement dxfId="7" type="secondRowStripe"/>
    </tableStyle>
    <tableStyle count="2" pivot="0" name="Sept 25-style 5">
      <tableStyleElement dxfId="2" type="firstRowStripe"/>
      <tableStyleElement dxfId="8" type="secondRowStripe"/>
    </tableStyle>
    <tableStyle count="2" pivot="0" name="Oct 25-style">
      <tableStyleElement dxfId="10" type="firstRowStripe"/>
      <tableStyleElement dxfId="3" type="secondRowStripe"/>
    </tableStyle>
    <tableStyle count="2" pivot="0" name="Oct 25-style 2">
      <tableStyleElement dxfId="2" type="firstRowStripe"/>
      <tableStyleElement dxfId="5" type="secondRowStripe"/>
    </tableStyle>
    <tableStyle count="2" pivot="0" name="Oct 25-style 3">
      <tableStyleElement dxfId="10" type="firstRowStripe"/>
      <tableStyleElement dxfId="3" type="secondRowStripe"/>
    </tableStyle>
    <tableStyle count="2" pivot="0" name="Oct 25-style 4">
      <tableStyleElement dxfId="2" type="firstRowStripe"/>
      <tableStyleElement dxfId="7" type="secondRowStripe"/>
    </tableStyle>
    <tableStyle count="2" pivot="0" name="Oct 25-style 5">
      <tableStyleElement dxfId="2" type="firstRowStripe"/>
      <tableStyleElement dxfId="8" type="secondRowStripe"/>
    </tableStyle>
    <tableStyle count="3" pivot="0" name="Nov 25-style">
      <tableStyleElement dxfId="14" type="headerRow"/>
      <tableStyleElement dxfId="15" type="firstRowStripe"/>
      <tableStyleElement dxfId="16" type="secondRowStripe"/>
    </tableStyle>
    <tableStyle count="2" pivot="0" name="Nov 25-style 2">
      <tableStyleElement dxfId="10" type="firstRowStripe"/>
      <tableStyleElement dxfId="3" type="secondRowStripe"/>
    </tableStyle>
    <tableStyle count="2" pivot="0" name="Nov 25-style 3">
      <tableStyleElement dxfId="2" type="firstRowStripe"/>
      <tableStyleElement dxfId="5" type="secondRowStripe"/>
    </tableStyle>
    <tableStyle count="2" pivot="0" name="Nov 25-style 4">
      <tableStyleElement dxfId="10" type="firstRowStripe"/>
      <tableStyleElement dxfId="3" type="secondRowStripe"/>
    </tableStyle>
    <tableStyle count="2" pivot="0" name="Nov 25-style 5">
      <tableStyleElement dxfId="2" type="firstRowStripe"/>
      <tableStyleElement dxfId="7" type="secondRowStripe"/>
    </tableStyle>
    <tableStyle count="2" pivot="0" name="Nov 25-style 6">
      <tableStyleElement dxfId="2" type="firstRowStripe"/>
      <tableStyleElement dxfId="8" type="secondRowStripe"/>
    </tableStyle>
    <tableStyle count="3" pivot="0" name="Dec 25-style">
      <tableStyleElement dxfId="14" type="headerRow"/>
      <tableStyleElement dxfId="15" type="firstRowStripe"/>
      <tableStyleElement dxfId="16" type="secondRowStripe"/>
    </tableStyle>
    <tableStyle count="2" pivot="0" name="Dec 25-style 2">
      <tableStyleElement dxfId="10" type="firstRowStripe"/>
      <tableStyleElement dxfId="3" type="secondRowStripe"/>
    </tableStyle>
    <tableStyle count="2" pivot="0" name="Dec 25-style 3">
      <tableStyleElement dxfId="2" type="firstRowStripe"/>
      <tableStyleElement dxfId="5" type="secondRowStripe"/>
    </tableStyle>
    <tableStyle count="2" pivot="0" name="Dec 25-style 4">
      <tableStyleElement dxfId="10" type="firstRowStripe"/>
      <tableStyleElement dxfId="3" type="secondRowStripe"/>
    </tableStyle>
    <tableStyle count="2" pivot="0" name="Dec 25-style 5">
      <tableStyleElement dxfId="2" type="firstRowStripe"/>
      <tableStyleElement dxfId="7" type="secondRowStripe"/>
    </tableStyle>
    <tableStyle count="2" pivot="0" name="Dec 25-style 6">
      <tableStyleElement dxfId="2" type="firstRowStripe"/>
      <tableStyleElement dxfId="8" type="secondRowStripe"/>
    </tableStyle>
    <tableStyle count="3" pivot="0" name="Jan 26-style">
      <tableStyleElement dxfId="14" type="headerRow"/>
      <tableStyleElement dxfId="15" type="firstRowStripe"/>
      <tableStyleElement dxfId="16" type="secondRowStripe"/>
    </tableStyle>
    <tableStyle count="2" pivot="0" name="Jan 26-style 2">
      <tableStyleElement dxfId="10" type="firstRowStripe"/>
      <tableStyleElement dxfId="3" type="secondRowStripe"/>
    </tableStyle>
    <tableStyle count="2" pivot="0" name="Jan 26-style 3">
      <tableStyleElement dxfId="2" type="firstRowStripe"/>
      <tableStyleElement dxfId="5" type="secondRowStripe"/>
    </tableStyle>
    <tableStyle count="2" pivot="0" name="Jan 26-style 4">
      <tableStyleElement dxfId="10" type="firstRowStripe"/>
      <tableStyleElement dxfId="3" type="secondRowStripe"/>
    </tableStyle>
    <tableStyle count="2" pivot="0" name="Jan 26-style 5">
      <tableStyleElement dxfId="2" type="firstRowStripe"/>
      <tableStyleElement dxfId="7" type="secondRowStripe"/>
    </tableStyle>
    <tableStyle count="2" pivot="0" name="Jan 26-style 6">
      <tableStyleElement dxfId="2" type="firstRowStripe"/>
      <tableStyleElement dxfId="8" type="secondRowStripe"/>
    </tableStyle>
    <tableStyle count="3" pivot="0" name="Feb 26-style">
      <tableStyleElement dxfId="14" type="headerRow"/>
      <tableStyleElement dxfId="15" type="firstRowStripe"/>
      <tableStyleElement dxfId="16" type="secondRowStripe"/>
    </tableStyle>
    <tableStyle count="2" pivot="0" name="Feb 26-style 2">
      <tableStyleElement dxfId="10" type="firstRowStripe"/>
      <tableStyleElement dxfId="3" type="secondRowStripe"/>
    </tableStyle>
    <tableStyle count="2" pivot="0" name="Feb 26-style 3">
      <tableStyleElement dxfId="2" type="firstRowStripe"/>
      <tableStyleElement dxfId="5" type="secondRowStripe"/>
    </tableStyle>
    <tableStyle count="2" pivot="0" name="Feb 26-style 4">
      <tableStyleElement dxfId="10" type="firstRowStripe"/>
      <tableStyleElement dxfId="3" type="secondRowStripe"/>
    </tableStyle>
    <tableStyle count="2" pivot="0" name="Feb 26-style 5">
      <tableStyleElement dxfId="2" type="firstRowStripe"/>
      <tableStyleElement dxfId="7" type="secondRowStripe"/>
    </tableStyle>
    <tableStyle count="2" pivot="0" name="Feb 26-style 6">
      <tableStyleElement dxfId="2" type="firstRowStripe"/>
      <tableStyleElement dxfId="8" type="secondRowStripe"/>
    </tableStyle>
    <tableStyle count="3" pivot="0" name="March 26-style">
      <tableStyleElement dxfId="14" type="headerRow"/>
      <tableStyleElement dxfId="15" type="firstRowStripe"/>
      <tableStyleElement dxfId="16" type="secondRowStripe"/>
    </tableStyle>
    <tableStyle count="2" pivot="0" name="March 26-style 2">
      <tableStyleElement dxfId="10" type="firstRowStripe"/>
      <tableStyleElement dxfId="3" type="secondRowStripe"/>
    </tableStyle>
    <tableStyle count="2" pivot="0" name="March 26-style 3">
      <tableStyleElement dxfId="2" type="firstRowStripe"/>
      <tableStyleElement dxfId="5" type="secondRowStripe"/>
    </tableStyle>
    <tableStyle count="2" pivot="0" name="March 26-style 4">
      <tableStyleElement dxfId="10" type="firstRowStripe"/>
      <tableStyleElement dxfId="3" type="secondRowStripe"/>
    </tableStyle>
    <tableStyle count="2" pivot="0" name="March 26-style 5">
      <tableStyleElement dxfId="2" type="firstRowStripe"/>
      <tableStyleElement dxfId="7" type="secondRowStripe"/>
    </tableStyle>
    <tableStyle count="2" pivot="0" name="March 26-style 6">
      <tableStyleElement dxfId="2" type="firstRowStripe"/>
      <tableStyleElement dxfId="8" type="secondRowStripe"/>
    </tableStyle>
    <tableStyle count="3" pivot="0" name="Apr 26-style">
      <tableStyleElement dxfId="14" type="headerRow"/>
      <tableStyleElement dxfId="15" type="firstRowStripe"/>
      <tableStyleElement dxfId="16" type="secondRowStripe"/>
    </tableStyle>
    <tableStyle count="2" pivot="0" name="Apr 26-style 2">
      <tableStyleElement dxfId="10" type="firstRowStripe"/>
      <tableStyleElement dxfId="3" type="secondRowStripe"/>
    </tableStyle>
    <tableStyle count="2" pivot="0" name="Apr 26-style 3">
      <tableStyleElement dxfId="2" type="firstRowStripe"/>
      <tableStyleElement dxfId="5" type="secondRowStripe"/>
    </tableStyle>
    <tableStyle count="2" pivot="0" name="Apr 26-style 4">
      <tableStyleElement dxfId="10" type="firstRowStripe"/>
      <tableStyleElement dxfId="3" type="secondRowStripe"/>
    </tableStyle>
    <tableStyle count="2" pivot="0" name="Apr 26-style 5">
      <tableStyleElement dxfId="2" type="firstRowStripe"/>
      <tableStyleElement dxfId="7" type="secondRowStripe"/>
    </tableStyle>
    <tableStyle count="2" pivot="0" name="Apr 26-style 6">
      <tableStyleElement dxfId="2" type="firstRowStripe"/>
      <tableStyleElement dxfId="8" type="secondRowStripe"/>
    </tableStyle>
    <tableStyle count="3" pivot="0" name="May 26-style">
      <tableStyleElement dxfId="14" type="headerRow"/>
      <tableStyleElement dxfId="15" type="firstRowStripe"/>
      <tableStyleElement dxfId="16" type="secondRowStripe"/>
    </tableStyle>
    <tableStyle count="2" pivot="0" name="May 26-style 2">
      <tableStyleElement dxfId="10" type="firstRowStripe"/>
      <tableStyleElement dxfId="3" type="secondRowStripe"/>
    </tableStyle>
    <tableStyle count="2" pivot="0" name="May 26-style 3">
      <tableStyleElement dxfId="2" type="firstRowStripe"/>
      <tableStyleElement dxfId="5" type="secondRowStripe"/>
    </tableStyle>
    <tableStyle count="2" pivot="0" name="May 26-style 4">
      <tableStyleElement dxfId="10" type="firstRowStripe"/>
      <tableStyleElement dxfId="3" type="secondRowStripe"/>
    </tableStyle>
    <tableStyle count="2" pivot="0" name="May 26-style 5">
      <tableStyleElement dxfId="2" type="firstRowStripe"/>
      <tableStyleElement dxfId="7" type="secondRowStripe"/>
    </tableStyle>
    <tableStyle count="2" pivot="0" name="May 26-style 6">
      <tableStyleElement dxfId="2" type="firstRowStripe"/>
      <tableStyleElement dxfId="8" type="secondRowStripe"/>
    </tableStyle>
    <tableStyle count="3" pivot="0" name="June 26-style">
      <tableStyleElement dxfId="14" type="headerRow"/>
      <tableStyleElement dxfId="15" type="firstRowStripe"/>
      <tableStyleElement dxfId="16" type="secondRowStripe"/>
    </tableStyle>
    <tableStyle count="2" pivot="0" name="June 26-style 2">
      <tableStyleElement dxfId="10" type="firstRowStripe"/>
      <tableStyleElement dxfId="3" type="secondRowStripe"/>
    </tableStyle>
    <tableStyle count="2" pivot="0" name="June 26-style 3">
      <tableStyleElement dxfId="2" type="firstRowStripe"/>
      <tableStyleElement dxfId="5" type="secondRowStripe"/>
    </tableStyle>
    <tableStyle count="2" pivot="0" name="June 26-style 4">
      <tableStyleElement dxfId="10" type="firstRowStripe"/>
      <tableStyleElement dxfId="3" type="secondRowStripe"/>
    </tableStyle>
    <tableStyle count="2" pivot="0" name="June 26-style 5">
      <tableStyleElement dxfId="2" type="firstRowStripe"/>
      <tableStyleElement dxfId="7" type="secondRowStripe"/>
    </tableStyle>
    <tableStyle count="2" pivot="0" name="June 26-style 6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d. Tanbir" id="{0b556d6d-989b-4200-9d10-9c3236b3c99b}" providerId="google-sheets"/>
</x18tc:personList>
</file>

<file path=xl/tables/table1.xml><?xml version="1.0" encoding="utf-8"?>
<table xmlns="http://schemas.openxmlformats.org/spreadsheetml/2006/main" headerRowCount="0" ref="I3:L1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January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G4:G34" displayName="Table_2" name="Table_2" id="2">
  <tableColumns count="1">
    <tableColumn name="Column1" id="1"/>
  </tableColumns>
  <tableStyleInfo name="January 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:H40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eb 25-style" showColumnStripes="0" showFirstColumn="1" showLastColumn="1" showRowStripes="1"/>
</table>
</file>

<file path=xl/tables/table4.xml><?xml version="1.0" encoding="utf-8"?>
<table xmlns="http://schemas.openxmlformats.org/spreadsheetml/2006/main" headerRowCount="0" ref="I5:K11" displayName="Table_4" name="Table_4" id="4">
  <tableColumns count="3">
    <tableColumn name="Column1" id="1"/>
    <tableColumn name="Column2" id="2"/>
    <tableColumn name="Column3" id="3"/>
  </tableColumns>
  <tableStyleInfo name="Feb 25-style 2" showColumnStripes="0" showFirstColumn="1" showLastColumn="1" showRowStripes="1"/>
</table>
</file>

<file path=xl/tables/table5.xml><?xml version="1.0" encoding="utf-8"?>
<table xmlns="http://schemas.openxmlformats.org/spreadsheetml/2006/main" headerRowCount="0" ref="M5:P18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Feb 25-style 3" showColumnStripes="0" showFirstColumn="1" showLastColumn="1" showRowStripes="1"/>
</table>
</file>

<file path=xl/tables/table6.xml><?xml version="1.0" encoding="utf-8"?>
<table xmlns="http://schemas.openxmlformats.org/spreadsheetml/2006/main" headerRowCount="0" ref="I16:K21" displayName="Table_6" name="Table_6" id="6">
  <tableColumns count="3">
    <tableColumn name="Column1" id="1"/>
    <tableColumn name="Column2" id="2"/>
    <tableColumn name="Column3" id="3"/>
  </tableColumns>
  <tableStyleInfo name="Feb 25-style 4" showColumnStripes="0" showFirstColumn="1" showLastColumn="1" showRowStripes="1"/>
</table>
</file>

<file path=xl/tables/table7.xml><?xml version="1.0" encoding="utf-8"?>
<table xmlns="http://schemas.openxmlformats.org/spreadsheetml/2006/main" headerRowCount="0" ref="I25:K31" displayName="Table_7" name="Table_7" id="7">
  <tableColumns count="3">
    <tableColumn name="Column1" id="1"/>
    <tableColumn name="Column2" id="2"/>
    <tableColumn name="Column3" id="3"/>
  </tableColumns>
  <tableStyleInfo name="Feb 25-style 5" showColumnStripes="0" showFirstColumn="1" showLastColumn="1" showRowStripes="1"/>
</table>
</file>

<file path=xl/tables/table8.xml><?xml version="1.0" encoding="utf-8"?>
<table xmlns="http://schemas.openxmlformats.org/spreadsheetml/2006/main" headerRowCount="0" ref="B5:J40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rch 25-style" showColumnStripes="0" showFirstColumn="1" showLastColumn="1" showRowStripes="1"/>
</table>
</file>

<file path=xl/tables/table9.xml><?xml version="1.0" encoding="utf-8"?>
<table xmlns="http://schemas.openxmlformats.org/spreadsheetml/2006/main" headerRowCount="0" ref="K5:M13" displayName="Table_9" name="Table_9" id="9">
  <tableColumns count="3">
    <tableColumn name="Column1" id="1"/>
    <tableColumn name="Column2" id="2"/>
    <tableColumn name="Column3" id="3"/>
  </tableColumns>
  <tableStyleInfo name="March 25-style 2" showColumnStripes="0" showFirstColumn="1" showLastColumn="1" showRowStripes="1"/>
</table>
</file>

<file path=xl/tables/table10.xml><?xml version="1.0" encoding="utf-8"?>
<table xmlns="http://schemas.openxmlformats.org/spreadsheetml/2006/main" headerRowCount="0" ref="O5:R18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March 25-style 3" showColumnStripes="0" showFirstColumn="1" showLastColumn="1" showRowStripes="1"/>
</table>
</file>

<file path=xl/tables/table11.xml><?xml version="1.0" encoding="utf-8"?>
<table xmlns="http://schemas.openxmlformats.org/spreadsheetml/2006/main" headerRowCount="0" ref="K17:M22" displayName="Table_11" name="Table_11" id="11">
  <tableColumns count="3">
    <tableColumn name="Column1" id="1"/>
    <tableColumn name="Column2" id="2"/>
    <tableColumn name="Column3" id="3"/>
  </tableColumns>
  <tableStyleInfo name="March 25-style 4" showColumnStripes="0" showFirstColumn="1" showLastColumn="1" showRowStripes="1"/>
</table>
</file>

<file path=xl/tables/table12.xml><?xml version="1.0" encoding="utf-8"?>
<table xmlns="http://schemas.openxmlformats.org/spreadsheetml/2006/main" headerRowCount="0" ref="K26:M31" displayName="Table_12" name="Table_12" id="12">
  <tableColumns count="3">
    <tableColumn name="Column1" id="1"/>
    <tableColumn name="Column2" id="2"/>
    <tableColumn name="Column3" id="3"/>
  </tableColumns>
  <tableStyleInfo name="March 25-style 5" showColumnStripes="0" showFirstColumn="1" showLastColumn="1" showRowStripes="1"/>
</table>
</file>

<file path=xl/tables/table13.xml><?xml version="1.0" encoding="utf-8"?>
<table xmlns="http://schemas.openxmlformats.org/spreadsheetml/2006/main" headerRowCount="0" ref="B4:K39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pr 25-style" showColumnStripes="0" showFirstColumn="1" showLastColumn="1" showRowStripes="1"/>
</table>
</file>

<file path=xl/tables/table14.xml><?xml version="1.0" encoding="utf-8"?>
<table xmlns="http://schemas.openxmlformats.org/spreadsheetml/2006/main" headerRowCount="0" ref="L4:N12" displayName="Table_14" name="Table_14" id="14">
  <tableColumns count="3">
    <tableColumn name="Column1" id="1"/>
    <tableColumn name="Column2" id="2"/>
    <tableColumn name="Column3" id="3"/>
  </tableColumns>
  <tableStyleInfo name="Apr 25-style 2" showColumnStripes="0" showFirstColumn="1" showLastColumn="1" showRowStripes="1"/>
</table>
</file>

<file path=xl/tables/table15.xml><?xml version="1.0" encoding="utf-8"?>
<table xmlns="http://schemas.openxmlformats.org/spreadsheetml/2006/main" headerRowCount="0" ref="P4:S17" displayName="Table_15" name="Table_15" id="15">
  <tableColumns count="4">
    <tableColumn name="Column1" id="1"/>
    <tableColumn name="Column2" id="2"/>
    <tableColumn name="Column3" id="3"/>
    <tableColumn name="Column4" id="4"/>
  </tableColumns>
  <tableStyleInfo name="Apr 25-style 3" showColumnStripes="0" showFirstColumn="1" showLastColumn="1" showRowStripes="1"/>
</table>
</file>

<file path=xl/tables/table16.xml><?xml version="1.0" encoding="utf-8"?>
<table xmlns="http://schemas.openxmlformats.org/spreadsheetml/2006/main" headerRowCount="0" ref="L16:N21" displayName="Table_16" name="Table_16" id="16">
  <tableColumns count="3">
    <tableColumn name="Column1" id="1"/>
    <tableColumn name="Column2" id="2"/>
    <tableColumn name="Column3" id="3"/>
  </tableColumns>
  <tableStyleInfo name="Apr 25-style 4" showColumnStripes="0" showFirstColumn="1" showLastColumn="1" showRowStripes="1"/>
</table>
</file>

<file path=xl/tables/table17.xml><?xml version="1.0" encoding="utf-8"?>
<table xmlns="http://schemas.openxmlformats.org/spreadsheetml/2006/main" headerRowCount="0" ref="L25:N30" displayName="Table_17" name="Table_17" id="17">
  <tableColumns count="3">
    <tableColumn name="Column1" id="1"/>
    <tableColumn name="Column2" id="2"/>
    <tableColumn name="Column3" id="3"/>
  </tableColumns>
  <tableStyleInfo name="Apr 25-style 5" showColumnStripes="0" showFirstColumn="1" showLastColumn="1" showRowStripes="1"/>
</table>
</file>

<file path=xl/tables/table18.xml><?xml version="1.0" encoding="utf-8"?>
<table xmlns="http://schemas.openxmlformats.org/spreadsheetml/2006/main" ref="A1:G37" displayName="Table1" name="Table1" id="18">
  <tableColumns count="7">
    <tableColumn name="Category" id="1"/>
    <tableColumn name="Subcategory" id="2"/>
    <tableColumn name="UniqueCategories" id="3"/>
    <tableColumn name="PaymentMethod" id="4"/>
    <tableColumn name="Account" id="5"/>
    <tableColumn name="Formula" id="6"/>
    <tableColumn name="SavingsAcc" id="7"/>
  </tableColumns>
  <tableStyleInfo name="data-style" showColumnStripes="0" showFirstColumn="1" showLastColumn="1" showRowStripes="1"/>
</table>
</file>

<file path=xl/tables/table19.xml><?xml version="1.0" encoding="utf-8"?>
<table xmlns="http://schemas.openxmlformats.org/spreadsheetml/2006/main" headerRowCount="0" ref="B4:F39" displayName="Table_18" name="Table_18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June 25-style" showColumnStripes="0" showFirstColumn="1" showLastColumn="1" showRowStripes="1"/>
</table>
</file>

<file path=xl/tables/table20.xml><?xml version="1.0" encoding="utf-8"?>
<table xmlns="http://schemas.openxmlformats.org/spreadsheetml/2006/main" headerRowCount="0" ref="H4:J39" displayName="Table_19" name="Table_19" id="20">
  <tableColumns count="3">
    <tableColumn name="Column1" id="1"/>
    <tableColumn name="Column2" id="2"/>
    <tableColumn name="Column3" id="3"/>
  </tableColumns>
  <tableStyleInfo name="June 25-style 2" showColumnStripes="0" showFirstColumn="1" showLastColumn="1" showRowStripes="1"/>
</table>
</file>

<file path=xl/tables/table21.xml><?xml version="1.0" encoding="utf-8"?>
<table xmlns="http://schemas.openxmlformats.org/spreadsheetml/2006/main" headerRowCount="0" ref="L4:N13" displayName="Table_20" name="Table_20" id="21">
  <tableColumns count="3">
    <tableColumn name="Column1" id="1"/>
    <tableColumn name="Column2" id="2"/>
    <tableColumn name="Column3" id="3"/>
  </tableColumns>
  <tableStyleInfo name="June 25-style 3" showColumnStripes="0" showFirstColumn="1" showLastColumn="1" showRowStripes="1"/>
</table>
</file>

<file path=xl/tables/table22.xml><?xml version="1.0" encoding="utf-8"?>
<table xmlns="http://schemas.openxmlformats.org/spreadsheetml/2006/main" headerRowCount="0" ref="L17:N22" displayName="Table_21" name="Table_21" id="22">
  <tableColumns count="3">
    <tableColumn name="Column1" id="1"/>
    <tableColumn name="Column2" id="2"/>
    <tableColumn name="Column3" id="3"/>
  </tableColumns>
  <tableStyleInfo name="June 25-style 4" showColumnStripes="0" showFirstColumn="1" showLastColumn="1" showRowStripes="1"/>
</table>
</file>

<file path=xl/tables/table23.xml><?xml version="1.0" encoding="utf-8"?>
<table xmlns="http://schemas.openxmlformats.org/spreadsheetml/2006/main" headerRowCount="0" ref="L26:N31" displayName="Table_22" name="Table_22" id="23">
  <tableColumns count="3">
    <tableColumn name="Column1" id="1"/>
    <tableColumn name="Column2" id="2"/>
    <tableColumn name="Column3" id="3"/>
  </tableColumns>
  <tableStyleInfo name="June 25-style 5" showColumnStripes="0" showFirstColumn="1" showLastColumn="1" showRowStripes="1"/>
</table>
</file>

<file path=xl/tables/table24.xml><?xml version="1.0" encoding="utf-8"?>
<table xmlns="http://schemas.openxmlformats.org/spreadsheetml/2006/main" headerRowCount="0" ref="B4:F39" displayName="Table_23" name="Table_23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July 25-style" showColumnStripes="0" showFirstColumn="1" showLastColumn="1" showRowStripes="1"/>
</table>
</file>

<file path=xl/tables/table25.xml><?xml version="1.0" encoding="utf-8"?>
<table xmlns="http://schemas.openxmlformats.org/spreadsheetml/2006/main" headerRowCount="0" ref="H4:J39" displayName="Table_24" name="Table_24" id="25">
  <tableColumns count="3">
    <tableColumn name="Column1" id="1"/>
    <tableColumn name="Column2" id="2"/>
    <tableColumn name="Column3" id="3"/>
  </tableColumns>
  <tableStyleInfo name="July 25-style 2" showColumnStripes="0" showFirstColumn="1" showLastColumn="1" showRowStripes="1"/>
</table>
</file>

<file path=xl/tables/table26.xml><?xml version="1.0" encoding="utf-8"?>
<table xmlns="http://schemas.openxmlformats.org/spreadsheetml/2006/main" headerRowCount="0" ref="L4:N13" displayName="Table_25" name="Table_25" id="26">
  <tableColumns count="3">
    <tableColumn name="Column1" id="1"/>
    <tableColumn name="Column2" id="2"/>
    <tableColumn name="Column3" id="3"/>
  </tableColumns>
  <tableStyleInfo name="July 25-style 3" showColumnStripes="0" showFirstColumn="1" showLastColumn="1" showRowStripes="1"/>
</table>
</file>

<file path=xl/tables/table27.xml><?xml version="1.0" encoding="utf-8"?>
<table xmlns="http://schemas.openxmlformats.org/spreadsheetml/2006/main" headerRowCount="0" ref="L17:N22" displayName="Table_26" name="Table_26" id="27">
  <tableColumns count="3">
    <tableColumn name="Column1" id="1"/>
    <tableColumn name="Column2" id="2"/>
    <tableColumn name="Column3" id="3"/>
  </tableColumns>
  <tableStyleInfo name="July 25-style 4" showColumnStripes="0" showFirstColumn="1" showLastColumn="1" showRowStripes="1"/>
</table>
</file>

<file path=xl/tables/table28.xml><?xml version="1.0" encoding="utf-8"?>
<table xmlns="http://schemas.openxmlformats.org/spreadsheetml/2006/main" headerRowCount="0" ref="L26:N31" displayName="Table_27" name="Table_27" id="28">
  <tableColumns count="3">
    <tableColumn name="Column1" id="1"/>
    <tableColumn name="Column2" id="2"/>
    <tableColumn name="Column3" id="3"/>
  </tableColumns>
  <tableStyleInfo name="July 25-style 5" showColumnStripes="0" showFirstColumn="1" showLastColumn="1" showRowStripes="1"/>
</table>
</file>

<file path=xl/tables/table29.xml><?xml version="1.0" encoding="utf-8"?>
<table xmlns="http://schemas.openxmlformats.org/spreadsheetml/2006/main" headerRowCount="0" ref="B4:F39" displayName="Table_28" name="Table_28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Aug 25-style" showColumnStripes="0" showFirstColumn="1" showLastColumn="1" showRowStripes="1"/>
</table>
</file>

<file path=xl/tables/table30.xml><?xml version="1.0" encoding="utf-8"?>
<table xmlns="http://schemas.openxmlformats.org/spreadsheetml/2006/main" headerRowCount="0" ref="H4:J39" displayName="Table_29" name="Table_29" id="30">
  <tableColumns count="3">
    <tableColumn name="Column1" id="1"/>
    <tableColumn name="Column2" id="2"/>
    <tableColumn name="Column3" id="3"/>
  </tableColumns>
  <tableStyleInfo name="Aug 25-style 2" showColumnStripes="0" showFirstColumn="1" showLastColumn="1" showRowStripes="1"/>
</table>
</file>

<file path=xl/tables/table31.xml><?xml version="1.0" encoding="utf-8"?>
<table xmlns="http://schemas.openxmlformats.org/spreadsheetml/2006/main" headerRowCount="0" ref="L4:N13" displayName="Table_30" name="Table_30" id="31">
  <tableColumns count="3">
    <tableColumn name="Column1" id="1"/>
    <tableColumn name="Column2" id="2"/>
    <tableColumn name="Column3" id="3"/>
  </tableColumns>
  <tableStyleInfo name="Aug 25-style 3" showColumnStripes="0" showFirstColumn="1" showLastColumn="1" showRowStripes="1"/>
</table>
</file>

<file path=xl/tables/table32.xml><?xml version="1.0" encoding="utf-8"?>
<table xmlns="http://schemas.openxmlformats.org/spreadsheetml/2006/main" headerRowCount="0" ref="L17:N22" displayName="Table_31" name="Table_31" id="32">
  <tableColumns count="3">
    <tableColumn name="Column1" id="1"/>
    <tableColumn name="Column2" id="2"/>
    <tableColumn name="Column3" id="3"/>
  </tableColumns>
  <tableStyleInfo name="Aug 25-style 4" showColumnStripes="0" showFirstColumn="1" showLastColumn="1" showRowStripes="1"/>
</table>
</file>

<file path=xl/tables/table33.xml><?xml version="1.0" encoding="utf-8"?>
<table xmlns="http://schemas.openxmlformats.org/spreadsheetml/2006/main" headerRowCount="0" ref="L26:N31" displayName="Table_32" name="Table_32" id="33">
  <tableColumns count="3">
    <tableColumn name="Column1" id="1"/>
    <tableColumn name="Column2" id="2"/>
    <tableColumn name="Column3" id="3"/>
  </tableColumns>
  <tableStyleInfo name="Aug 25-style 5" showColumnStripes="0" showFirstColumn="1" showLastColumn="1" showRowStripes="1"/>
</table>
</file>

<file path=xl/tables/table34.xml><?xml version="1.0" encoding="utf-8"?>
<table xmlns="http://schemas.openxmlformats.org/spreadsheetml/2006/main" headerRowCount="0" ref="B4:F39" displayName="Table_33" name="Table_33" id="34">
  <tableColumns count="5">
    <tableColumn name="Column1" id="1"/>
    <tableColumn name="Column2" id="2"/>
    <tableColumn name="Column3" id="3"/>
    <tableColumn name="Column4" id="4"/>
    <tableColumn name="Column5" id="5"/>
  </tableColumns>
  <tableStyleInfo name="Sept 25-style" showColumnStripes="0" showFirstColumn="1" showLastColumn="1" showRowStripes="1"/>
</table>
</file>

<file path=xl/tables/table35.xml><?xml version="1.0" encoding="utf-8"?>
<table xmlns="http://schemas.openxmlformats.org/spreadsheetml/2006/main" headerRowCount="0" ref="H4:J39" displayName="Table_34" name="Table_34" id="35">
  <tableColumns count="3">
    <tableColumn name="Column1" id="1"/>
    <tableColumn name="Column2" id="2"/>
    <tableColumn name="Column3" id="3"/>
  </tableColumns>
  <tableStyleInfo name="Sept 25-style 2" showColumnStripes="0" showFirstColumn="1" showLastColumn="1" showRowStripes="1"/>
</table>
</file>

<file path=xl/tables/table36.xml><?xml version="1.0" encoding="utf-8"?>
<table xmlns="http://schemas.openxmlformats.org/spreadsheetml/2006/main" headerRowCount="0" ref="L4:N13" displayName="Table_35" name="Table_35" id="36">
  <tableColumns count="3">
    <tableColumn name="Column1" id="1"/>
    <tableColumn name="Column2" id="2"/>
    <tableColumn name="Column3" id="3"/>
  </tableColumns>
  <tableStyleInfo name="Sept 25-style 3" showColumnStripes="0" showFirstColumn="1" showLastColumn="1" showRowStripes="1"/>
</table>
</file>

<file path=xl/tables/table37.xml><?xml version="1.0" encoding="utf-8"?>
<table xmlns="http://schemas.openxmlformats.org/spreadsheetml/2006/main" headerRowCount="0" ref="L17:N22" displayName="Table_36" name="Table_36" id="37">
  <tableColumns count="3">
    <tableColumn name="Column1" id="1"/>
    <tableColumn name="Column2" id="2"/>
    <tableColumn name="Column3" id="3"/>
  </tableColumns>
  <tableStyleInfo name="Sept 25-style 4" showColumnStripes="0" showFirstColumn="1" showLastColumn="1" showRowStripes="1"/>
</table>
</file>

<file path=xl/tables/table38.xml><?xml version="1.0" encoding="utf-8"?>
<table xmlns="http://schemas.openxmlformats.org/spreadsheetml/2006/main" headerRowCount="0" ref="L26:N31" displayName="Table_37" name="Table_37" id="38">
  <tableColumns count="3">
    <tableColumn name="Column1" id="1"/>
    <tableColumn name="Column2" id="2"/>
    <tableColumn name="Column3" id="3"/>
  </tableColumns>
  <tableStyleInfo name="Sept 25-style 5" showColumnStripes="0" showFirstColumn="1" showLastColumn="1" showRowStripes="1"/>
</table>
</file>

<file path=xl/tables/table39.xml><?xml version="1.0" encoding="utf-8"?>
<table xmlns="http://schemas.openxmlformats.org/spreadsheetml/2006/main" headerRowCount="0" ref="B4:F39" displayName="Table_38" name="Table_38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Oct 25-style" showColumnStripes="0" showFirstColumn="1" showLastColumn="1" showRowStripes="1"/>
</table>
</file>

<file path=xl/tables/table40.xml><?xml version="1.0" encoding="utf-8"?>
<table xmlns="http://schemas.openxmlformats.org/spreadsheetml/2006/main" headerRowCount="0" ref="H4:J39" displayName="Table_39" name="Table_39" id="40">
  <tableColumns count="3">
    <tableColumn name="Column1" id="1"/>
    <tableColumn name="Column2" id="2"/>
    <tableColumn name="Column3" id="3"/>
  </tableColumns>
  <tableStyleInfo name="Oct 25-style 2" showColumnStripes="0" showFirstColumn="1" showLastColumn="1" showRowStripes="1"/>
</table>
</file>

<file path=xl/tables/table41.xml><?xml version="1.0" encoding="utf-8"?>
<table xmlns="http://schemas.openxmlformats.org/spreadsheetml/2006/main" headerRowCount="0" ref="L4:N13" displayName="Table_40" name="Table_40" id="41">
  <tableColumns count="3">
    <tableColumn name="Column1" id="1"/>
    <tableColumn name="Column2" id="2"/>
    <tableColumn name="Column3" id="3"/>
  </tableColumns>
  <tableStyleInfo name="Oct 25-style 3" showColumnStripes="0" showFirstColumn="1" showLastColumn="1" showRowStripes="1"/>
</table>
</file>

<file path=xl/tables/table42.xml><?xml version="1.0" encoding="utf-8"?>
<table xmlns="http://schemas.openxmlformats.org/spreadsheetml/2006/main" headerRowCount="0" ref="L17:N22" displayName="Table_41" name="Table_41" id="42">
  <tableColumns count="3">
    <tableColumn name="Column1" id="1"/>
    <tableColumn name="Column2" id="2"/>
    <tableColumn name="Column3" id="3"/>
  </tableColumns>
  <tableStyleInfo name="Oct 25-style 4" showColumnStripes="0" showFirstColumn="1" showLastColumn="1" showRowStripes="1"/>
</table>
</file>

<file path=xl/tables/table43.xml><?xml version="1.0" encoding="utf-8"?>
<table xmlns="http://schemas.openxmlformats.org/spreadsheetml/2006/main" headerRowCount="0" ref="L26:N31" displayName="Table_42" name="Table_42" id="43">
  <tableColumns count="3">
    <tableColumn name="Column1" id="1"/>
    <tableColumn name="Column2" id="2"/>
    <tableColumn name="Column3" id="3"/>
  </tableColumns>
  <tableStyleInfo name="Oct 25-style 5" showColumnStripes="0" showFirstColumn="1" showLastColumn="1" showRowStripes="1"/>
</table>
</file>

<file path=xl/tables/table44.xml><?xml version="1.0" encoding="utf-8"?>
<table xmlns="http://schemas.openxmlformats.org/spreadsheetml/2006/main" ref="P2:U100" displayName="Table_43" name="Table_43" id="44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Nov 25-style" showColumnStripes="0" showFirstColumn="1" showLastColumn="1" showRowStripes="1"/>
</table>
</file>

<file path=xl/tables/table45.xml><?xml version="1.0" encoding="utf-8"?>
<table xmlns="http://schemas.openxmlformats.org/spreadsheetml/2006/main" headerRowCount="0" ref="B4:F39" displayName="Table_44" name="Table_44" id="45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 25-style 2" showColumnStripes="0" showFirstColumn="1" showLastColumn="1" showRowStripes="1"/>
</table>
</file>

<file path=xl/tables/table46.xml><?xml version="1.0" encoding="utf-8"?>
<table xmlns="http://schemas.openxmlformats.org/spreadsheetml/2006/main" headerRowCount="0" ref="H4:J39" displayName="Table_45" name="Table_45" id="46">
  <tableColumns count="3">
    <tableColumn name="Column1" id="1"/>
    <tableColumn name="Column2" id="2"/>
    <tableColumn name="Column3" id="3"/>
  </tableColumns>
  <tableStyleInfo name="Nov 25-style 3" showColumnStripes="0" showFirstColumn="1" showLastColumn="1" showRowStripes="1"/>
</table>
</file>

<file path=xl/tables/table47.xml><?xml version="1.0" encoding="utf-8"?>
<table xmlns="http://schemas.openxmlformats.org/spreadsheetml/2006/main" headerRowCount="0" ref="L4:N13" displayName="Table_46" name="Table_46" id="47">
  <tableColumns count="3">
    <tableColumn name="Column1" id="1"/>
    <tableColumn name="Column2" id="2"/>
    <tableColumn name="Column3" id="3"/>
  </tableColumns>
  <tableStyleInfo name="Nov 25-style 4" showColumnStripes="0" showFirstColumn="1" showLastColumn="1" showRowStripes="1"/>
</table>
</file>

<file path=xl/tables/table48.xml><?xml version="1.0" encoding="utf-8"?>
<table xmlns="http://schemas.openxmlformats.org/spreadsheetml/2006/main" headerRowCount="0" ref="L17:N22" displayName="Table_47" name="Table_47" id="48">
  <tableColumns count="3">
    <tableColumn name="Column1" id="1"/>
    <tableColumn name="Column2" id="2"/>
    <tableColumn name="Column3" id="3"/>
  </tableColumns>
  <tableStyleInfo name="Nov 25-style 5" showColumnStripes="0" showFirstColumn="1" showLastColumn="1" showRowStripes="1"/>
</table>
</file>

<file path=xl/tables/table49.xml><?xml version="1.0" encoding="utf-8"?>
<table xmlns="http://schemas.openxmlformats.org/spreadsheetml/2006/main" headerRowCount="0" ref="L26:N31" displayName="Table_48" name="Table_48" id="49">
  <tableColumns count="3">
    <tableColumn name="Column1" id="1"/>
    <tableColumn name="Column2" id="2"/>
    <tableColumn name="Column3" id="3"/>
  </tableColumns>
  <tableStyleInfo name="Nov 25-style 6" showColumnStripes="0" showFirstColumn="1" showLastColumn="1" showRowStripes="1"/>
</table>
</file>

<file path=xl/tables/table50.xml><?xml version="1.0" encoding="utf-8"?>
<table xmlns="http://schemas.openxmlformats.org/spreadsheetml/2006/main" ref="P2:U100" displayName="Table_49" name="Table_49" id="50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Dec 25-style" showColumnStripes="0" showFirstColumn="1" showLastColumn="1" showRowStripes="1"/>
</table>
</file>

<file path=xl/tables/table51.xml><?xml version="1.0" encoding="utf-8"?>
<table xmlns="http://schemas.openxmlformats.org/spreadsheetml/2006/main" headerRowCount="0" ref="B4:F39" displayName="Table_50" name="Table_50" id="51">
  <tableColumns count="5">
    <tableColumn name="Column1" id="1"/>
    <tableColumn name="Column2" id="2"/>
    <tableColumn name="Column3" id="3"/>
    <tableColumn name="Column4" id="4"/>
    <tableColumn name="Column5" id="5"/>
  </tableColumns>
  <tableStyleInfo name="Dec 25-style 2" showColumnStripes="0" showFirstColumn="1" showLastColumn="1" showRowStripes="1"/>
</table>
</file>

<file path=xl/tables/table52.xml><?xml version="1.0" encoding="utf-8"?>
<table xmlns="http://schemas.openxmlformats.org/spreadsheetml/2006/main" headerRowCount="0" ref="H4:J39" displayName="Table_51" name="Table_51" id="52">
  <tableColumns count="3">
    <tableColumn name="Column1" id="1"/>
    <tableColumn name="Column2" id="2"/>
    <tableColumn name="Column3" id="3"/>
  </tableColumns>
  <tableStyleInfo name="Dec 25-style 3" showColumnStripes="0" showFirstColumn="1" showLastColumn="1" showRowStripes="1"/>
</table>
</file>

<file path=xl/tables/table53.xml><?xml version="1.0" encoding="utf-8"?>
<table xmlns="http://schemas.openxmlformats.org/spreadsheetml/2006/main" headerRowCount="0" ref="L4:N13" displayName="Table_52" name="Table_52" id="53">
  <tableColumns count="3">
    <tableColumn name="Column1" id="1"/>
    <tableColumn name="Column2" id="2"/>
    <tableColumn name="Column3" id="3"/>
  </tableColumns>
  <tableStyleInfo name="Dec 25-style 4" showColumnStripes="0" showFirstColumn="1" showLastColumn="1" showRowStripes="1"/>
</table>
</file>

<file path=xl/tables/table54.xml><?xml version="1.0" encoding="utf-8"?>
<table xmlns="http://schemas.openxmlformats.org/spreadsheetml/2006/main" headerRowCount="0" ref="L17:N22" displayName="Table_53" name="Table_53" id="54">
  <tableColumns count="3">
    <tableColumn name="Column1" id="1"/>
    <tableColumn name="Column2" id="2"/>
    <tableColumn name="Column3" id="3"/>
  </tableColumns>
  <tableStyleInfo name="Dec 25-style 5" showColumnStripes="0" showFirstColumn="1" showLastColumn="1" showRowStripes="1"/>
</table>
</file>

<file path=xl/tables/table55.xml><?xml version="1.0" encoding="utf-8"?>
<table xmlns="http://schemas.openxmlformats.org/spreadsheetml/2006/main" headerRowCount="0" ref="L26:N31" displayName="Table_54" name="Table_54" id="55">
  <tableColumns count="3">
    <tableColumn name="Column1" id="1"/>
    <tableColumn name="Column2" id="2"/>
    <tableColumn name="Column3" id="3"/>
  </tableColumns>
  <tableStyleInfo name="Dec 25-style 6" showColumnStripes="0" showFirstColumn="1" showLastColumn="1" showRowStripes="1"/>
</table>
</file>

<file path=xl/tables/table56.xml><?xml version="1.0" encoding="utf-8"?>
<table xmlns="http://schemas.openxmlformats.org/spreadsheetml/2006/main" ref="P2:U100" displayName="Table_55" name="Table_55" id="56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Jan 26-style" showColumnStripes="0" showFirstColumn="1" showLastColumn="1" showRowStripes="1"/>
</table>
</file>

<file path=xl/tables/table57.xml><?xml version="1.0" encoding="utf-8"?>
<table xmlns="http://schemas.openxmlformats.org/spreadsheetml/2006/main" headerRowCount="0" ref="B4:F39" displayName="Table_56" name="Table_56" id="57">
  <tableColumns count="5">
    <tableColumn name="Column1" id="1"/>
    <tableColumn name="Column2" id="2"/>
    <tableColumn name="Column3" id="3"/>
    <tableColumn name="Column4" id="4"/>
    <tableColumn name="Column5" id="5"/>
  </tableColumns>
  <tableStyleInfo name="Jan 26-style 2" showColumnStripes="0" showFirstColumn="1" showLastColumn="1" showRowStripes="1"/>
</table>
</file>

<file path=xl/tables/table58.xml><?xml version="1.0" encoding="utf-8"?>
<table xmlns="http://schemas.openxmlformats.org/spreadsheetml/2006/main" headerRowCount="0" ref="H4:J39" displayName="Table_57" name="Table_57" id="58">
  <tableColumns count="3">
    <tableColumn name="Column1" id="1"/>
    <tableColumn name="Column2" id="2"/>
    <tableColumn name="Column3" id="3"/>
  </tableColumns>
  <tableStyleInfo name="Jan 26-style 3" showColumnStripes="0" showFirstColumn="1" showLastColumn="1" showRowStripes="1"/>
</table>
</file>

<file path=xl/tables/table59.xml><?xml version="1.0" encoding="utf-8"?>
<table xmlns="http://schemas.openxmlformats.org/spreadsheetml/2006/main" headerRowCount="0" ref="L4:N13" displayName="Table_58" name="Table_58" id="59">
  <tableColumns count="3">
    <tableColumn name="Column1" id="1"/>
    <tableColumn name="Column2" id="2"/>
    <tableColumn name="Column3" id="3"/>
  </tableColumns>
  <tableStyleInfo name="Jan 26-style 4" showColumnStripes="0" showFirstColumn="1" showLastColumn="1" showRowStripes="1"/>
</table>
</file>

<file path=xl/tables/table60.xml><?xml version="1.0" encoding="utf-8"?>
<table xmlns="http://schemas.openxmlformats.org/spreadsheetml/2006/main" headerRowCount="0" ref="L17:N22" displayName="Table_59" name="Table_59" id="60">
  <tableColumns count="3">
    <tableColumn name="Column1" id="1"/>
    <tableColumn name="Column2" id="2"/>
    <tableColumn name="Column3" id="3"/>
  </tableColumns>
  <tableStyleInfo name="Jan 26-style 5" showColumnStripes="0" showFirstColumn="1" showLastColumn="1" showRowStripes="1"/>
</table>
</file>

<file path=xl/tables/table61.xml><?xml version="1.0" encoding="utf-8"?>
<table xmlns="http://schemas.openxmlformats.org/spreadsheetml/2006/main" headerRowCount="0" ref="L26:N31" displayName="Table_60" name="Table_60" id="61">
  <tableColumns count="3">
    <tableColumn name="Column1" id="1"/>
    <tableColumn name="Column2" id="2"/>
    <tableColumn name="Column3" id="3"/>
  </tableColumns>
  <tableStyleInfo name="Jan 26-style 6" showColumnStripes="0" showFirstColumn="1" showLastColumn="1" showRowStripes="1"/>
</table>
</file>

<file path=xl/tables/table62.xml><?xml version="1.0" encoding="utf-8"?>
<table xmlns="http://schemas.openxmlformats.org/spreadsheetml/2006/main" ref="P2:U100" displayName="Table_61" name="Table_61" id="62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Feb 26-style" showColumnStripes="0" showFirstColumn="1" showLastColumn="1" showRowStripes="1"/>
</table>
</file>

<file path=xl/tables/table63.xml><?xml version="1.0" encoding="utf-8"?>
<table xmlns="http://schemas.openxmlformats.org/spreadsheetml/2006/main" headerRowCount="0" ref="B4:F39" displayName="Table_62" name="Table_62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Feb 26-style 2" showColumnStripes="0" showFirstColumn="1" showLastColumn="1" showRowStripes="1"/>
</table>
</file>

<file path=xl/tables/table64.xml><?xml version="1.0" encoding="utf-8"?>
<table xmlns="http://schemas.openxmlformats.org/spreadsheetml/2006/main" headerRowCount="0" ref="H4:J39" displayName="Table_63" name="Table_63" id="64">
  <tableColumns count="3">
    <tableColumn name="Column1" id="1"/>
    <tableColumn name="Column2" id="2"/>
    <tableColumn name="Column3" id="3"/>
  </tableColumns>
  <tableStyleInfo name="Feb 26-style 3" showColumnStripes="0" showFirstColumn="1" showLastColumn="1" showRowStripes="1"/>
</table>
</file>

<file path=xl/tables/table65.xml><?xml version="1.0" encoding="utf-8"?>
<table xmlns="http://schemas.openxmlformats.org/spreadsheetml/2006/main" headerRowCount="0" ref="L4:N13" displayName="Table_64" name="Table_64" id="65">
  <tableColumns count="3">
    <tableColumn name="Column1" id="1"/>
    <tableColumn name="Column2" id="2"/>
    <tableColumn name="Column3" id="3"/>
  </tableColumns>
  <tableStyleInfo name="Feb 26-style 4" showColumnStripes="0" showFirstColumn="1" showLastColumn="1" showRowStripes="1"/>
</table>
</file>

<file path=xl/tables/table66.xml><?xml version="1.0" encoding="utf-8"?>
<table xmlns="http://schemas.openxmlformats.org/spreadsheetml/2006/main" headerRowCount="0" ref="L17:N22" displayName="Table_65" name="Table_65" id="66">
  <tableColumns count="3">
    <tableColumn name="Column1" id="1"/>
    <tableColumn name="Column2" id="2"/>
    <tableColumn name="Column3" id="3"/>
  </tableColumns>
  <tableStyleInfo name="Feb 26-style 5" showColumnStripes="0" showFirstColumn="1" showLastColumn="1" showRowStripes="1"/>
</table>
</file>

<file path=xl/tables/table67.xml><?xml version="1.0" encoding="utf-8"?>
<table xmlns="http://schemas.openxmlformats.org/spreadsheetml/2006/main" headerRowCount="0" ref="L26:N31" displayName="Table_66" name="Table_66" id="67">
  <tableColumns count="3">
    <tableColumn name="Column1" id="1"/>
    <tableColumn name="Column2" id="2"/>
    <tableColumn name="Column3" id="3"/>
  </tableColumns>
  <tableStyleInfo name="Feb 26-style 6" showColumnStripes="0" showFirstColumn="1" showLastColumn="1" showRowStripes="1"/>
</table>
</file>

<file path=xl/tables/table68.xml><?xml version="1.0" encoding="utf-8"?>
<table xmlns="http://schemas.openxmlformats.org/spreadsheetml/2006/main" ref="P2:U100" displayName="Table_67" name="Table_67" id="68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March 26-style" showColumnStripes="0" showFirstColumn="1" showLastColumn="1" showRowStripes="1"/>
</table>
</file>

<file path=xl/tables/table69.xml><?xml version="1.0" encoding="utf-8"?>
<table xmlns="http://schemas.openxmlformats.org/spreadsheetml/2006/main" headerRowCount="0" ref="B4:F39" displayName="Table_68" name="Table_68" id="69">
  <tableColumns count="5">
    <tableColumn name="Column1" id="1"/>
    <tableColumn name="Column2" id="2"/>
    <tableColumn name="Column3" id="3"/>
    <tableColumn name="Column4" id="4"/>
    <tableColumn name="Column5" id="5"/>
  </tableColumns>
  <tableStyleInfo name="March 26-style 2" showColumnStripes="0" showFirstColumn="1" showLastColumn="1" showRowStripes="1"/>
</table>
</file>

<file path=xl/tables/table70.xml><?xml version="1.0" encoding="utf-8"?>
<table xmlns="http://schemas.openxmlformats.org/spreadsheetml/2006/main" headerRowCount="0" ref="H4:J39" displayName="Table_69" name="Table_69" id="70">
  <tableColumns count="3">
    <tableColumn name="Column1" id="1"/>
    <tableColumn name="Column2" id="2"/>
    <tableColumn name="Column3" id="3"/>
  </tableColumns>
  <tableStyleInfo name="March 26-style 3" showColumnStripes="0" showFirstColumn="1" showLastColumn="1" showRowStripes="1"/>
</table>
</file>

<file path=xl/tables/table71.xml><?xml version="1.0" encoding="utf-8"?>
<table xmlns="http://schemas.openxmlformats.org/spreadsheetml/2006/main" headerRowCount="0" ref="L4:N13" displayName="Table_70" name="Table_70" id="71">
  <tableColumns count="3">
    <tableColumn name="Column1" id="1"/>
    <tableColumn name="Column2" id="2"/>
    <tableColumn name="Column3" id="3"/>
  </tableColumns>
  <tableStyleInfo name="March 26-style 4" showColumnStripes="0" showFirstColumn="1" showLastColumn="1" showRowStripes="1"/>
</table>
</file>

<file path=xl/tables/table72.xml><?xml version="1.0" encoding="utf-8"?>
<table xmlns="http://schemas.openxmlformats.org/spreadsheetml/2006/main" headerRowCount="0" ref="L17:N22" displayName="Table_71" name="Table_71" id="72">
  <tableColumns count="3">
    <tableColumn name="Column1" id="1"/>
    <tableColumn name="Column2" id="2"/>
    <tableColumn name="Column3" id="3"/>
  </tableColumns>
  <tableStyleInfo name="March 26-style 5" showColumnStripes="0" showFirstColumn="1" showLastColumn="1" showRowStripes="1"/>
</table>
</file>

<file path=xl/tables/table73.xml><?xml version="1.0" encoding="utf-8"?>
<table xmlns="http://schemas.openxmlformats.org/spreadsheetml/2006/main" headerRowCount="0" ref="L26:N31" displayName="Table_72" name="Table_72" id="73">
  <tableColumns count="3">
    <tableColumn name="Column1" id="1"/>
    <tableColumn name="Column2" id="2"/>
    <tableColumn name="Column3" id="3"/>
  </tableColumns>
  <tableStyleInfo name="March 26-style 6" showColumnStripes="0" showFirstColumn="1" showLastColumn="1" showRowStripes="1"/>
</table>
</file>

<file path=xl/tables/table74.xml><?xml version="1.0" encoding="utf-8"?>
<table xmlns="http://schemas.openxmlformats.org/spreadsheetml/2006/main" ref="P2:U100" displayName="Table_73" name="Table_73" id="74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Apr 26-style" showColumnStripes="0" showFirstColumn="1" showLastColumn="1" showRowStripes="1"/>
</table>
</file>

<file path=xl/tables/table75.xml><?xml version="1.0" encoding="utf-8"?>
<table xmlns="http://schemas.openxmlformats.org/spreadsheetml/2006/main" headerRowCount="0" ref="B4:F39" displayName="Table_74" name="Table_74" id="75">
  <tableColumns count="5">
    <tableColumn name="Column1" id="1"/>
    <tableColumn name="Column2" id="2"/>
    <tableColumn name="Column3" id="3"/>
    <tableColumn name="Column4" id="4"/>
    <tableColumn name="Column5" id="5"/>
  </tableColumns>
  <tableStyleInfo name="Apr 26-style 2" showColumnStripes="0" showFirstColumn="1" showLastColumn="1" showRowStripes="1"/>
</table>
</file>

<file path=xl/tables/table76.xml><?xml version="1.0" encoding="utf-8"?>
<table xmlns="http://schemas.openxmlformats.org/spreadsheetml/2006/main" headerRowCount="0" ref="H4:J39" displayName="Table_75" name="Table_75" id="76">
  <tableColumns count="3">
    <tableColumn name="Column1" id="1"/>
    <tableColumn name="Column2" id="2"/>
    <tableColumn name="Column3" id="3"/>
  </tableColumns>
  <tableStyleInfo name="Apr 26-style 3" showColumnStripes="0" showFirstColumn="1" showLastColumn="1" showRowStripes="1"/>
</table>
</file>

<file path=xl/tables/table77.xml><?xml version="1.0" encoding="utf-8"?>
<table xmlns="http://schemas.openxmlformats.org/spreadsheetml/2006/main" headerRowCount="0" ref="L4:N13" displayName="Table_76" name="Table_76" id="77">
  <tableColumns count="3">
    <tableColumn name="Column1" id="1"/>
    <tableColumn name="Column2" id="2"/>
    <tableColumn name="Column3" id="3"/>
  </tableColumns>
  <tableStyleInfo name="Apr 26-style 4" showColumnStripes="0" showFirstColumn="1" showLastColumn="1" showRowStripes="1"/>
</table>
</file>

<file path=xl/tables/table78.xml><?xml version="1.0" encoding="utf-8"?>
<table xmlns="http://schemas.openxmlformats.org/spreadsheetml/2006/main" headerRowCount="0" ref="L17:N22" displayName="Table_77" name="Table_77" id="78">
  <tableColumns count="3">
    <tableColumn name="Column1" id="1"/>
    <tableColumn name="Column2" id="2"/>
    <tableColumn name="Column3" id="3"/>
  </tableColumns>
  <tableStyleInfo name="Apr 26-style 5" showColumnStripes="0" showFirstColumn="1" showLastColumn="1" showRowStripes="1"/>
</table>
</file>

<file path=xl/tables/table79.xml><?xml version="1.0" encoding="utf-8"?>
<table xmlns="http://schemas.openxmlformats.org/spreadsheetml/2006/main" headerRowCount="0" ref="L26:N31" displayName="Table_78" name="Table_78" id="79">
  <tableColumns count="3">
    <tableColumn name="Column1" id="1"/>
    <tableColumn name="Column2" id="2"/>
    <tableColumn name="Column3" id="3"/>
  </tableColumns>
  <tableStyleInfo name="Apr 26-style 6" showColumnStripes="0" showFirstColumn="1" showLastColumn="1" showRowStripes="1"/>
</table>
</file>

<file path=xl/tables/table80.xml><?xml version="1.0" encoding="utf-8"?>
<table xmlns="http://schemas.openxmlformats.org/spreadsheetml/2006/main" ref="P2:U100" displayName="Table_79" name="Table_79" id="80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May 26-style" showColumnStripes="0" showFirstColumn="1" showLastColumn="1" showRowStripes="1"/>
</table>
</file>

<file path=xl/tables/table81.xml><?xml version="1.0" encoding="utf-8"?>
<table xmlns="http://schemas.openxmlformats.org/spreadsheetml/2006/main" headerRowCount="0" ref="B4:F39" displayName="Table_80" name="Table_80" id="81">
  <tableColumns count="5">
    <tableColumn name="Column1" id="1"/>
    <tableColumn name="Column2" id="2"/>
    <tableColumn name="Column3" id="3"/>
    <tableColumn name="Column4" id="4"/>
    <tableColumn name="Column5" id="5"/>
  </tableColumns>
  <tableStyleInfo name="May 26-style 2" showColumnStripes="0" showFirstColumn="1" showLastColumn="1" showRowStripes="1"/>
</table>
</file>

<file path=xl/tables/table82.xml><?xml version="1.0" encoding="utf-8"?>
<table xmlns="http://schemas.openxmlformats.org/spreadsheetml/2006/main" headerRowCount="0" ref="H4:J39" displayName="Table_81" name="Table_81" id="82">
  <tableColumns count="3">
    <tableColumn name="Column1" id="1"/>
    <tableColumn name="Column2" id="2"/>
    <tableColumn name="Column3" id="3"/>
  </tableColumns>
  <tableStyleInfo name="May 26-style 3" showColumnStripes="0" showFirstColumn="1" showLastColumn="1" showRowStripes="1"/>
</table>
</file>

<file path=xl/tables/table83.xml><?xml version="1.0" encoding="utf-8"?>
<table xmlns="http://schemas.openxmlformats.org/spreadsheetml/2006/main" headerRowCount="0" ref="L4:N13" displayName="Table_82" name="Table_82" id="83">
  <tableColumns count="3">
    <tableColumn name="Column1" id="1"/>
    <tableColumn name="Column2" id="2"/>
    <tableColumn name="Column3" id="3"/>
  </tableColumns>
  <tableStyleInfo name="May 26-style 4" showColumnStripes="0" showFirstColumn="1" showLastColumn="1" showRowStripes="1"/>
</table>
</file>

<file path=xl/tables/table84.xml><?xml version="1.0" encoding="utf-8"?>
<table xmlns="http://schemas.openxmlformats.org/spreadsheetml/2006/main" headerRowCount="0" ref="L17:N22" displayName="Table_83" name="Table_83" id="84">
  <tableColumns count="3">
    <tableColumn name="Column1" id="1"/>
    <tableColumn name="Column2" id="2"/>
    <tableColumn name="Column3" id="3"/>
  </tableColumns>
  <tableStyleInfo name="May 26-style 5" showColumnStripes="0" showFirstColumn="1" showLastColumn="1" showRowStripes="1"/>
</table>
</file>

<file path=xl/tables/table85.xml><?xml version="1.0" encoding="utf-8"?>
<table xmlns="http://schemas.openxmlformats.org/spreadsheetml/2006/main" headerRowCount="0" ref="L26:N31" displayName="Table_84" name="Table_84" id="85">
  <tableColumns count="3">
    <tableColumn name="Column1" id="1"/>
    <tableColumn name="Column2" id="2"/>
    <tableColumn name="Column3" id="3"/>
  </tableColumns>
  <tableStyleInfo name="May 26-style 6" showColumnStripes="0" showFirstColumn="1" showLastColumn="1" showRowStripes="1"/>
</table>
</file>

<file path=xl/tables/table86.xml><?xml version="1.0" encoding="utf-8"?>
<table xmlns="http://schemas.openxmlformats.org/spreadsheetml/2006/main" ref="P2:U100" displayName="Table_85" name="Table_85" id="86">
  <tableColumns count="6">
    <tableColumn name="Date" id="1"/>
    <tableColumn name="Category" id="2"/>
    <tableColumn name="Subcategory" id="3"/>
    <tableColumn name="Payment Method" id="4"/>
    <tableColumn name="Amount" id="5"/>
    <tableColumn name="Remarks" id="6"/>
  </tableColumns>
  <tableStyleInfo name="June 26-style" showColumnStripes="0" showFirstColumn="1" showLastColumn="1" showRowStripes="1"/>
</table>
</file>

<file path=xl/tables/table87.xml><?xml version="1.0" encoding="utf-8"?>
<table xmlns="http://schemas.openxmlformats.org/spreadsheetml/2006/main" headerRowCount="0" ref="B4:F39" displayName="Table_86" name="Table_86" id="87">
  <tableColumns count="5">
    <tableColumn name="Column1" id="1"/>
    <tableColumn name="Column2" id="2"/>
    <tableColumn name="Column3" id="3"/>
    <tableColumn name="Column4" id="4"/>
    <tableColumn name="Column5" id="5"/>
  </tableColumns>
  <tableStyleInfo name="June 26-style 2" showColumnStripes="0" showFirstColumn="1" showLastColumn="1" showRowStripes="1"/>
</table>
</file>

<file path=xl/tables/table88.xml><?xml version="1.0" encoding="utf-8"?>
<table xmlns="http://schemas.openxmlformats.org/spreadsheetml/2006/main" headerRowCount="0" ref="H4:J39" displayName="Table_87" name="Table_87" id="88">
  <tableColumns count="3">
    <tableColumn name="Column1" id="1"/>
    <tableColumn name="Column2" id="2"/>
    <tableColumn name="Column3" id="3"/>
  </tableColumns>
  <tableStyleInfo name="June 26-style 3" showColumnStripes="0" showFirstColumn="1" showLastColumn="1" showRowStripes="1"/>
</table>
</file>

<file path=xl/tables/table89.xml><?xml version="1.0" encoding="utf-8"?>
<table xmlns="http://schemas.openxmlformats.org/spreadsheetml/2006/main" headerRowCount="0" ref="L4:N13" displayName="Table_88" name="Table_88" id="89">
  <tableColumns count="3">
    <tableColumn name="Column1" id="1"/>
    <tableColumn name="Column2" id="2"/>
    <tableColumn name="Column3" id="3"/>
  </tableColumns>
  <tableStyleInfo name="June 26-style 4" showColumnStripes="0" showFirstColumn="1" showLastColumn="1" showRowStripes="1"/>
</table>
</file>

<file path=xl/tables/table90.xml><?xml version="1.0" encoding="utf-8"?>
<table xmlns="http://schemas.openxmlformats.org/spreadsheetml/2006/main" headerRowCount="0" ref="L17:N22" displayName="Table_89" name="Table_89" id="90">
  <tableColumns count="3">
    <tableColumn name="Column1" id="1"/>
    <tableColumn name="Column2" id="2"/>
    <tableColumn name="Column3" id="3"/>
  </tableColumns>
  <tableStyleInfo name="June 26-style 5" showColumnStripes="0" showFirstColumn="1" showLastColumn="1" showRowStripes="1"/>
</table>
</file>

<file path=xl/tables/table91.xml><?xml version="1.0" encoding="utf-8"?>
<table xmlns="http://schemas.openxmlformats.org/spreadsheetml/2006/main" headerRowCount="0" ref="L26:N31" displayName="Table_90" name="Table_90" id="91">
  <tableColumns count="3">
    <tableColumn name="Column1" id="1"/>
    <tableColumn name="Column2" id="2"/>
    <tableColumn name="Column3" id="3"/>
  </tableColumns>
  <tableStyleInfo name="June 26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4-12-28T11:43:29.00" personId="{0b556d6d-989b-4200-9d10-9c3236b3c99b}" id="{5d261b71-ac63-4b23-8158-1943b8f16794}" done="0">
    <x18tc:text xml:space="preserve">travel -- 60
tea &amp; others -- 110+40
murgi -- 260
drinks -- 40
hanger -- 130
HRent -- 7,000
Bazar -- 180</x18tc:text>
  </x18tc:threadedComment>
  <x18tc:threadedComment ref="G23" dT="2024-12-30T17:33:02.00" personId="{0b556d6d-989b-4200-9d10-9c3236b3c99b}" id="{bb52453d-f332-42eb-8087-b5256d5cdb5e}" done="0">
    <x18tc:text xml:space="preserve">1510 -- 30 dec 24, will back 10Jan25
1000 -- 31 dec 24</x18tc:text>
  </x18tc:threadedComment>
  <x18tc:threadedComment ref="C9" dT="2024-12-30T17:43:00.00" personId="{0b556d6d-989b-4200-9d10-9c3236b3c99b}" id="{e2bd4199-eab8-44ac-aebe-58790b8db8ad}" done="0">
    <x18tc:text xml:space="preserve">bKash</x18tc:text>
  </x18tc:threadedComment>
  <x18tc:threadedComment ref="D23" dT="2025-01-15T16:04:32.00" personId="{0b556d6d-989b-4200-9d10-9c3236b3c99b}" id="{99280819-1e71-47cd-b2f9-f3b5c72355cc}" done="0">
    <x18tc:text xml:space="preserve">travel -- 20
tea --15</x18tc:text>
  </x18tc:threadedComment>
  <x18tc:threadedComment ref="J4" dT="2024-12-26T19:23:53.00" personId="{0b556d6d-989b-4200-9d10-9c3236b3c99b}" id="{8798018b-67d8-4180-8a6d-409e32315ecb}" done="0">
    <x18tc:text xml:space="preserve">Arman vai -- 6000
santo -- 2000 
prev extra cost -- 2000</x18tc:text>
  </x18tc:threadedComment>
  <x18tc:threadedComment ref="C6" dT="2024-12-30T17:43:09.00" personId="{0b556d6d-989b-4200-9d10-9c3236b3c99b}" id="{949a0367-a428-4c5e-abb2-5ebfb6e3ee92}" done="0">
    <x18tc:text xml:space="preserve">bKash</x18tc:text>
  </x18tc:threadedComment>
  <x18tc:threadedComment ref="D27" dT="2025-01-17T16:26:51.00" personId="{0b556d6d-989b-4200-9d10-9c3236b3c99b}" id="{64d82568-7bd6-461b-9048-021cb1a3d107}" done="0">
    <x18tc:text xml:space="preserve">cost == 0
settlement with monir
--------------------------
take more 200 taka, 
will take 300tk for prev month meal,
give 2000 through bkash,
still I will get 1000 from him.</x18tc:text>
  </x18tc:threadedComment>
  <x18tc:threadedComment ref="D33" dT="2025-01-23T16:56:49.00" personId="{0b556d6d-989b-4200-9d10-9c3236b3c99b}" id="{6263e1bc-7d0a-4861-a9d2-e33325c08f3e}" done="0">
    <x18tc:text xml:space="preserve">travel -- 20
tea --15</x18tc:text>
  </x18tc:threadedComment>
  <x18tc:threadedComment ref="D25" dT="2025-01-15T16:04:54.00" personId="{0b556d6d-989b-4200-9d10-9c3236b3c99b}" id="{0de9df01-aeab-4c0e-be28-7587421c9221}" done="0">
    <x18tc:text xml:space="preserve">travel -- 20
tea -- 15</x18tc:text>
  </x18tc:threadedComment>
  <x18tc:threadedComment ref="D24" dT="2025-01-15T16:04:41.00" personId="{0b556d6d-989b-4200-9d10-9c3236b3c99b}" id="{f1f011d4-ff3b-4a55-a434-660429e16d2d}" done="0">
    <x18tc:text xml:space="preserve">travel -- 20
tea --55</x18tc:text>
  </x18tc:threadedComment>
  <x18tc:threadedComment ref="D11" dT="2025-01-01T18:44:16.00" personId="{0b556d6d-989b-4200-9d10-9c3236b3c99b}" id="{be301426-f1a3-4397-976f-d5f2df48134b}" done="0">
    <x18tc:text xml:space="preserve">mobile Reserge_ammu -- 200
travel -- 30
tea -- 15</x18tc:text>
  </x18tc:threadedComment>
  <x18tc:threadedComment ref="D10" dT="2025-01-01T18:44:17.00" personId="{0b556d6d-989b-4200-9d10-9c3236b3c99b}" id="{85e07e64-1d88-49fd-be75-ec3515ae7e15}" done="0">
    <x18tc:text xml:space="preserve">monir -- 1000
tea -- 30
travel -- 20
donation -- 200</x18tc:text>
  </x18tc:threadedComment>
  <x18tc:threadedComment ref="D31" dT="2025-01-21T17:30:51.00" personId="{0b556d6d-989b-4200-9d10-9c3236b3c99b}" id="{9270f92a-d3db-47b7-9546-5cc4684ac315}" done="0">
    <x18tc:text xml:space="preserve">tea -- 50
travel -- 10
f.mask -- 20
food -- 60+20</x18tc:text>
  </x18tc:threadedComment>
  <x18tc:threadedComment ref="D4" dT="2024-12-25T16:23:30.00" personId="{0b556d6d-989b-4200-9d10-9c3236b3c99b}" id="{898065b4-9b61-458a-956b-2650a42f206b}" done="0">
    <x18tc:text xml:space="preserve">Abbu -- 10,000
Travel (for get-off parents) -- 300
Medicine (monas+maxpro) -- 200</x18tc:text>
  </x18tc:threadedComment>
  <x18tc:threadedComment ref="D15" dT="2025-01-05T16:01:41.00" personId="{0b556d6d-989b-4200-9d10-9c3236b3c99b}" id="{db0e04ca-c654-4a31-b733-065ebb71eac0}" done="0">
    <x18tc:text xml:space="preserve">due of last month -- 4000
travel -- 20
tea -- 15
buyNet_mine -- 250</x18tc:text>
  </x18tc:threadedComment>
  <x18tc:threadedComment ref="D13" dT="2025-01-04T06:44:34.00" personId="{0b556d6d-989b-4200-9d10-9c3236b3c99b}" id="{94905719-0d85-46ce-93a2-05f3e13b5e4d}" done="0">
    <x18tc:text xml:space="preserve">monekka -- 100
donation -- 20
tea -- 30
bazar -- 245 (dim+sim+tometo+fulkopi+piaj+dhonepata+gajor)</x18tc:text>
  </x18tc:threadedComment>
  <x18tc:threadedComment ref="D26" dT="2025-01-16T17:10:10.00" personId="{0b556d6d-989b-4200-9d10-9c3236b3c99b}" id="{3401b736-3c89-4669-9283-350f31c4cd74}" done="0">
    <x18tc:text xml:space="preserve">Travel--20
Tea--15
Meal_N -- 35</x18tc:text>
  </x18tc:threadedComment>
  <x18tc:threadedComment ref="D14" dT="2025-01-04T06:45:32.00" personId="{0b556d6d-989b-4200-9d10-9c3236b3c99b}" id="{a9255b75-ea39-4676-aded-a82c41b99c84}" done="0">
    <x18tc:text xml:space="preserve">bazar -- 290 (cal+dim+morich+mosla)
tea -- 15
Nasta -- 20</x18tc:text>
  </x18tc:threadedComment>
  <x18tc:threadedComment ref="D8" dT="2024-12-30T16:39:57.00" personId="{0b556d6d-989b-4200-9d10-9c3236b3c99b}" id="{51b69046-0394-4538-915e-0bae707c25cc}" done="0">
    <x18tc:text xml:space="preserve">tea -- 35</x18tc:text>
  </x18tc:threadedComment>
  <x18tc:threadedComment ref="D9" dT="2024-12-30T16:39:04.00" personId="{0b556d6d-989b-4200-9d10-9c3236b3c99b}" id="{24755994-97c6-4be1-bf39-c901568de3bb}" done="0">
    <x18tc:text xml:space="preserve">tea -- 15
biskit -- 200
shampoo -- 20
travel -- 10
elec.billPay -- 635
Monir -- 1510</x18tc:text>
  </x18tc:threadedComment>
  <x18tc:threadedComment ref="D30" dT="2025-01-21T17:30:50.00" personId="{0b556d6d-989b-4200-9d10-9c3236b3c99b}" id="{8e87fd57-8238-4101-bd6b-30bffcce909b}" done="0">
    <x18tc:text xml:space="preserve">travel -- 20
donation -- 110</x18tc:text>
  </x18tc:threadedComment>
  <x18tc:threadedComment ref="D32" dT="2025-01-22T16:48:34.00" personId="{0b556d6d-989b-4200-9d10-9c3236b3c99b}" id="{97d0a1ac-c6bd-41b5-841c-4c402e029c29}" done="0">
    <x18tc:text xml:space="preserve">travel -- 30
tea -- 15
mask -- 180
food_n -- 35
land given to sakib -- 50
reserge to phn_home -- 210</x18tc:text>
  </x18tc:threadedComment>
  <x18tc:threadedComment ref="D18" dT="2025-01-11T20:06:54.00" personId="{0b556d6d-989b-4200-9d10-9c3236b3c99b}" id="{269ba61c-ff8f-47a8-b716-7d5e27b88264}" done="0">
    <x18tc:text xml:space="preserve">Tea--15
Travel--10</x18tc:text>
  </x18tc:threadedComment>
  <x18tc:threadedComment ref="D22" dT="2025-01-12T17:00:49.00" personId="{0b556d6d-989b-4200-9d10-9c3236b3c99b}" id="{f890264a-06c5-4625-886d-fe476d4730ff}" done="0">
    <x18tc:text xml:space="preserve">gamca -- 100
travel -- 20</x18tc:text>
  </x18tc:threadedComment>
  <x18tc:threadedComment ref="D21" dT="2025-01-12T16:58:30.00" personId="{0b556d6d-989b-4200-9d10-9c3236b3c99b}" id="{2f7da207-2caa-430e-bc67-483139259791}" done="0">
    <x18tc:text xml:space="preserve">bazar -- 200 (polao cal + sosa + tometo)
travel -- 50
lunch with friend -- 450
tea -- 75
saban -- 75</x18tc:text>
  </x18tc:threadedComment>
  <x18tc:threadedComment ref="D12" dT="2025-01-04T06:42:25.00" personId="{0b556d6d-989b-4200-9d10-9c3236b3c99b}" id="{30209851-52a6-43c0-b070-f833ca0ccac5}" done="0">
    <x18tc:text xml:space="preserve">travel -- 10
tea -- 15</x18tc:text>
  </x18tc:threadedComment>
  <x18tc:threadedComment ref="D20" dT="2025-01-12T16:56:18.00" personId="{0b556d6d-989b-4200-9d10-9c3236b3c99b}" id="{92602194-3f7b-45e0-bfc2-115f2db8eb49}" done="0">
    <x18tc:text xml:space="preserve">juta+socks -- 4100
cap -- 180
tea -- 50</x18tc:text>
  </x18tc:threadedComment>
  <x18tc:threadedComment ref="D16" dT="2025-01-06T16:44:19.00" personId="{0b556d6d-989b-4200-9d10-9c3236b3c99b}" id="{9c982b41-0513-4920-8fb5-ea8549762d28}" done="0">
    <x18tc:text xml:space="preserve">facial tishu + perfume + hair oil + revive ---- 935
tea -- 30</x18tc:text>
  </x18tc:threadedComment>
  <x18tc:threadedComment ref="D34" dT="2025-01-25T15:13:54.00" personId="{0b556d6d-989b-4200-9d10-9c3236b3c99b}" id="{53e27fa2-0c1d-4bee-8775-a8f1b53fb4f8}" done="0">
    <x18tc:text xml:space="preserve">24/01
-----------
bazar_mess -- 220
tea --35
donation -- 50
25/01
-------------
bazar -- 20
tea -- 30
food -- 40
underwear -- 500</x18tc:text>
  </x18tc:threadedComment>
  <x18tc:threadedComment ref="D28" dT="2025-01-19T17:54:20.00" personId="{0b556d6d-989b-4200-9d10-9c3236b3c99b}" id="{4b48e394-d3f0-4cd6-87e9-e038c47616e4}" done="0">
    <x18tc:text xml:space="preserve">tea - 15
meal_N -- 20
shampoo -- 20</x18tc:text>
  </x18tc:threadedComment>
  <x18tc:threadedComment ref="D6" dT="2024-12-26T17:37:54.00" personId="{0b556d6d-989b-4200-9d10-9c3236b3c99b}" id="{6202db6a-35c2-4de3-a0c3-8c4d239924f6}" done="0">
    <x18tc:text xml:space="preserve">Arman Vai due parment -- 6115
bKash add -- 500</x18tc:text>
  </x18tc:threadedComment>
  <x18tc:threadedComment ref="D19" dT="2025-01-11T20:08:20.00" personId="{0b556d6d-989b-4200-9d10-9c3236b3c99b}" id="{9074ffa0-a12a-4d48-a91f-629af137a483}" done="0">
    <x18tc:text xml:space="preserve">Bazar -- 550
Tea -- 15
Travel -- 30</x18tc:text>
  </x18tc:threadedComment>
  <x18tc:threadedComment ref="D29" dT="2025-01-19T17:56:14.00" personId="{0b556d6d-989b-4200-9d10-9c3236b3c99b}" id="{cea39b9d-309f-424c-add7-7041f3de985c}" done="0">
    <x18tc:text xml:space="preserve">travel -- 20
meal_N(dim) -- 50
meal_N -- 20
muja -- 50</x18tc:text>
  </x18tc:threadedComment>
  <x18tc:threadedComment ref="D5" dT="2024-12-26T16:42:54.00" personId="{0b556d6d-989b-4200-9d10-9c3236b3c99b}" id="{c506d3ec-3d88-40b6-88aa-a43a4b21c550}" done="0">
    <x18tc:text xml:space="preserve">travel -- 20
b/c -- 30
goodNight -- 220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6" dT="2025-01-27T16:16:53.00" personId="{0b556d6d-989b-4200-9d10-9c3236b3c99b}" id="{b508b3e8-8096-4a20-a2ea-5d38a03e209f}" done="0">
    <x18tc:text xml:space="preserve">tea -- 15
food -- 70 (dim-50,ruti-20)</x18tc:text>
  </x18tc:threadedComment>
  <x18tc:threadedComment ref="F11" dT="2025-02-01T10:46:46.00" personId="{0b556d6d-989b-4200-9d10-9c3236b3c99b}" id="{d7736520-5ea9-43fd-a4c9-aca6d0172ac8}" done="0">
    <x18tc:text xml:space="preserve">tea -- 15+20
bed cover -- 250
mess_bazar -- 460
lapata cost (donation) -- 110
cini -- 65
deu clear -- 685</x18tc:text>
  </x18tc:threadedComment>
  <x18tc:threadedComment ref="F16" dT="2025-02-06T17:54:18.00" personId="{0b556d6d-989b-4200-9d10-9c3236b3c99b}" id="{837e33ef-4eab-492b-b54d-a2fdd61f6481}" done="0">
    <x18tc:text xml:space="preserve">tea -- 15
tel -- 190
chaPata -- 30
food_n -- 20
DailyNec -- 260 (saban+wheel+goodNight)</x18tc:text>
  </x18tc:threadedComment>
  <x18tc:threadedComment ref="F32" dT="2025-02-22T16:34:39.00" personId="{0b556d6d-989b-4200-9d10-9c3236b3c99b}" id="{f4d5350d-057e-4c5c-a372-04ae76d89e06}" done="0">
    <x18tc:text xml:space="preserve">nasta_m -- 20
tea -- 60
med -- 170
treatToSanto&amp; -- 260</x18tc:text>
  </x18tc:threadedComment>
  <x18tc:threadedComment ref="F18" dT="2025-02-08T17:10:05.00" personId="{0b556d6d-989b-4200-9d10-9c3236b3c99b}" id="{f69df370-69f9-4e9b-882a-d484cf753273}" done="0">
    <x18tc:text xml:space="preserve">tea -- 45
nasta -- 20
bazar_mess -- 30
hear_cut -- 100</x18tc:text>
  </x18tc:threadedComment>
  <x18tc:threadedComment ref="F21" dT="2025-02-12T17:26:44.00" personId="{0b556d6d-989b-4200-9d10-9c3236b3c99b}" id="{420c1b3c-1d3e-417b-9ca3-2c6b8f5dbeb6}" done="0">
    <x18tc:text xml:space="preserve">tishu -- 80
shampoo -- 20
gillettee guard -- 50
tea -- 15
medi -- 70</x18tc:text>
  </x18tc:threadedComment>
  <x18tc:threadedComment ref="G22" dT="2025-02-12T17:25:28.00" personId="{0b556d6d-989b-4200-9d10-9c3236b3c99b}" id="{4582b984-807a-4395-9ed3-8130473489f6}" done="0">
    <x18tc:text xml:space="preserve">teavel to home -- 700</x18tc:text>
  </x18tc:threadedComment>
  <x18tc:threadedComment ref="F22" dT="2025-02-12T17:24:58.00" personId="{0b556d6d-989b-4200-9d10-9c3236b3c99b}" id="{603861cf-00b4-40b6-a469-633666fc8d9e}" done="0">
    <x18tc:text xml:space="preserve">donation to sira -- 300
tea -- 15</x18tc:text>
  </x18tc:threadedComment>
  <x18tc:threadedComment ref="G9" dT="2025-02-01T11:08:22.00" personId="{0b556d6d-989b-4200-9d10-9c3236b3c99b}" id="{a776d66c-7fd2-48a7-b5fb-a8641a559513}" done="0">
    <x18tc:text xml:space="preserve">duck party -- 1500</x18tc:text>
  </x18tc:threadedComment>
  <x18tc:threadedComment ref="F7" dT="2025-01-28T20:10:54.00" personId="{0b556d6d-989b-4200-9d10-9c3236b3c99b}" id="{727993e0-31b1-40e6-bd42-2ddd1887d16c}" done="0">
    <x18tc:text xml:space="preserve">travel -- 20
food -- 30 (ruti+vaji)
tea -- 15</x18tc:text>
  </x18tc:threadedComment>
  <x18tc:threadedComment ref="F10" dT="2025-02-01T11:10:30.00" personId="{0b556d6d-989b-4200-9d10-9c3236b3c99b}" id="{5bd08ea2-cd05-4cb0-9f31-8a81e01832d8}" done="0">
    <x18tc:text xml:space="preserve">travel -- 40
tea -- 30
meal_N -- 35</x18tc:text>
  </x18tc:threadedComment>
  <x18tc:threadedComment ref="F33" dT="2025-02-23T17:18:07.00" personId="{0b556d6d-989b-4200-9d10-9c3236b3c99b}" id="{48e0d90e-4f0f-4478-bc35-1c6fb5fb3084}" done="0">
    <x18tc:text xml:space="preserve">tea -- 15
food_n -- 40
belt -- 1890
jersey -- 350
med -- 105</x18tc:text>
  </x18tc:threadedComment>
  <x18tc:threadedComment ref="F23" dT="2025-02-17T17:47:09.00" personId="{0b556d6d-989b-4200-9d10-9c3236b3c99b}" id="{36f1a5a0-f7cb-4a52-9a46-3881e3d6608c}" done="0">
    <x18tc:text xml:space="preserve">travel -- 1125-750
tea -- 50
home_food -- 1200+750</x18tc:text>
  </x18tc:threadedComment>
  <x18tc:threadedComment ref="G33" dT="2025-02-23T17:18:18.00" personId="{0b556d6d-989b-4200-9d10-9c3236b3c99b}" id="{8bf3015d-7db8-4917-820c-48ef2834b488}" done="0">
    <x18tc:text xml:space="preserve">shirt -- 1490</x18tc:text>
  </x18tc:threadedComment>
  <x18tc:threadedComment ref="F24" dT="2025-02-17T17:45:41.00" personId="{0b556d6d-989b-4200-9d10-9c3236b3c99b}" id="{d5541295-36ea-4bfb-9307-39bc7b233582}" done="0">
    <x18tc:text xml:space="preserve">given to home -- 7000</x18tc:text>
  </x18tc:threadedComment>
  <x18tc:threadedComment ref="F9" dT="2025-02-01T11:06:27.00" personId="{0b556d6d-989b-4200-9d10-9c3236b3c99b}" id="{fe64088a-3cdc-4162-8fdb-c76154754b77}" done="0">
    <x18tc:text xml:space="preserve">travel -- 20
tea -- 155
mobile stand -- 250</x18tc:text>
  </x18tc:threadedComment>
  <x18tc:threadedComment ref="F36" dT="2025-02-26T16:15:11.00" personId="{0b556d6d-989b-4200-9d10-9c3236b3c99b}" id="{24f54df9-1bd8-4b81-af30-47f33af683fa}" done="0">
    <x18tc:text xml:space="preserve">tea -- 30</x18tc:text>
  </x18tc:threadedComment>
  <x18tc:threadedComment ref="F35" dT="2025-02-25T17:34:15.00" personId="{0b556d6d-989b-4200-9d10-9c3236b3c99b}" id="{8f8530db-54f5-4b00-b678-b56b394f8277}" done="0">
    <x18tc:text xml:space="preserve">tea -- 15</x18tc:text>
  </x18tc:threadedComment>
  <x18tc:threadedComment ref="G14" dT="2025-02-03T17:44:23.00" personId="{0b556d6d-989b-4200-9d10-9c3236b3c99b}" id="{b7e5bbf4-b482-4104-9880-0ee5b7136d1f}" done="0">
    <x18tc:text xml:space="preserve">sav_2.5 (eximBank)</x18tc:text>
  </x18tc:threadedComment>
  <x18tc:threadedComment ref="F17" dT="2025-02-07T14:58:57.00" personId="{0b556d6d-989b-4200-9d10-9c3236b3c99b}" id="{6644c816-92bf-4c74-a076-67f0f0feb813}" done="0">
    <x18tc:text xml:space="preserve">tea -- 45
nasta -- 20
bazar_mess -- 240
shopping -- 13900</x18tc:text>
  </x18tc:threadedComment>
  <x18tc:threadedComment ref="G13" dT="2025-02-03T17:46:21.00" personId="{0b556d6d-989b-4200-9d10-9c3236b3c99b}" id="{e871bce8-9bdb-452c-8762-13dabfbefc73}" done="0">
    <x18tc:text xml:space="preserve">minute_mine -- 50
int_mine -- 100</x18tc:text>
  </x18tc:threadedComment>
  <x18tc:threadedComment ref="F30" dT="2025-02-21T18:11:19.00" personId="{0b556d6d-989b-4200-9d10-9c3236b3c99b}" id="{a186367c-68d8-4699-97ba-82711e78e457}" done="0">
    <x18tc:text xml:space="preserve">juta -- 140
tea -- 35</x18tc:text>
  </x18tc:threadedComment>
  <x18tc:threadedComment ref="G27" dT="2025-02-17T17:41:49.00" personId="{0b556d6d-989b-4200-9d10-9c3236b3c99b}" id="{0e83a699-d1ba-49ed-a493-aba5aa68bdb8}" done="0">
    <x18tc:text xml:space="preserve">mobile -- 30</x18tc:text>
  </x18tc:threadedComment>
  <x18tc:threadedComment ref="F31" dT="2025-02-21T18:12:06.00" personId="{0b556d6d-989b-4200-9d10-9c3236b3c99b}" id="{dea6af22-b8fa-4e40-a0ff-17d8a3f3ae7a}" done="0">
    <x18tc:text xml:space="preserve">nasta_m -- 30
tea -- 45
bazar_mess -- 540 (paid by santo)</x18tc:text>
  </x18tc:threadedComment>
  <x18tc:threadedComment ref="G25" dT="2025-02-17T17:42:52.00" personId="{0b556d6d-989b-4200-9d10-9c3236b3c99b}" id="{1eb44fe4-5837-44ae-b9dc-11157e90f47e}" done="0">
    <x18tc:text xml:space="preserve">mobile -- 250</x18tc:text>
  </x18tc:threadedComment>
  <x18tc:threadedComment ref="G24" dT="2025-02-17T17:42:41.00" personId="{0b556d6d-989b-4200-9d10-9c3236b3c99b}" id="{03d00502-7dc9-4954-ac41-e2ebebd5a821}" done="0">
    <x18tc:text xml:space="preserve">mobile -- 150</x18tc:text>
  </x18tc:threadedComment>
  <x18tc:threadedComment ref="F8" dT="2025-01-29T17:39:28.00" personId="{0b556d6d-989b-4200-9d10-9c3236b3c99b}" id="{f0099b76-8d71-4038-8328-1edd2ee75058}" done="0">
    <x18tc:text xml:space="preserve">travel -- 20</x18tc:text>
  </x18tc:threadedComment>
  <x18tc:threadedComment ref="F25" dT="2025-02-17T17:44:37.00" personId="{0b556d6d-989b-4200-9d10-9c3236b3c99b}" id="{8a192d55-d940-4341-8127-df1b234fbb82}" done="0">
    <x18tc:text xml:space="preserve">travel -- 700
food_n -- 80
tea -- 45
daily_nec -- 35</x18tc:text>
  </x18tc:threadedComment>
  <x18tc:threadedComment ref="F15" dT="2025-02-05T16:35:33.00" personId="{0b556d6d-989b-4200-9d10-9c3236b3c99b}" id="{f838ce8f-ac21-4270-bd54-852e6a3a05ee}" done="0">
    <x18tc:text xml:space="preserve">houseRent -- 7000
tea -- 15
noodles -- 90</x18tc:text>
  </x18tc:threadedComment>
  <x18tc:threadedComment ref="F26" dT="2025-02-17T17:43:53.00" personId="{0b556d6d-989b-4200-9d10-9c3236b3c99b}" id="{d4367949-1c07-4b84-abd0-1445ae46e2a7}" done="0">
    <x18tc:text xml:space="preserve">tea -- 30
food_n -- 20</x18tc:text>
  </x18tc:threadedComment>
  <x18tc:threadedComment ref="G32" dT="2025-02-24T18:00:14.00" personId="{0b556d6d-989b-4200-9d10-9c3236b3c99b}" id="{7674e056-6954-499a-bb1c-e7beaee9cf06}" done="0">
    <x18tc:text xml:space="preserve">electricity bill -- 298
mobile -- 30</x18tc:text>
  </x18tc:threadedComment>
  <x18tc:threadedComment ref="J18" dT="2025-02-24T17:55:15.00" personId="{0b556d6d-989b-4200-9d10-9c3236b3c99b}" id="{66203495-7160-4b7c-b756-7ec92dec1efb}" done="0">
    <x18tc:text xml:space="preserve">phn -- 01924452580</x18tc:text>
  </x18tc:threadedComment>
  <x18tc:threadedComment ref="F34" dT="2025-02-24T17:53:55.00" personId="{0b556d6d-989b-4200-9d10-9c3236b3c99b}" id="{38cf0a5f-f576-42cd-a226-fb90c3c2c0ea}" done="0">
    <x18tc:text xml:space="preserve">Fan -- 5250
Tea -- 15
food_n -- 30
med -- 85
lend given to razib shekh vai -- 1000
donation -- 10</x18tc:text>
  </x18tc:threadedComment>
  <x18tc:threadedComment ref="F28" dT="2025-02-18T18:16:51.00" personId="{0b556d6d-989b-4200-9d10-9c3236b3c99b}" id="{0bee11ea-3377-43a0-9e28-c309227a2496}" done="0">
    <x18tc:text xml:space="preserve">tea -- 30
food_n -- 70</x18tc:text>
  </x18tc:threadedComment>
  <x18tc:threadedComment ref="F27" dT="2025-02-17T17:42:04.00" personId="{0b556d6d-989b-4200-9d10-9c3236b3c99b}" id="{ebfe73ff-fbeb-4cdd-bb92-a753f2f8082e}" done="0">
    <x18tc:text xml:space="preserve">Tea -- 15</x18tc:text>
  </x18tc:threadedComment>
  <x18tc:threadedComment ref="F20" dT="2025-02-10T15:31:12.00" personId="{0b556d6d-989b-4200-9d10-9c3236b3c99b}" id="{4a506604-6664-40e5-8560-70ebcf4a94c1}" done="0">
    <x18tc:text xml:space="preserve">tea -- 15
food_n -- 40</x18tc:text>
  </x18tc:threadedComment>
  <x18tc:threadedComment ref="F14" dT="2025-02-04T16:31:33.00" personId="{0b556d6d-989b-4200-9d10-9c3236b3c99b}" id="{0cacacc9-1f4c-4079-8595-bfc81d8af7ac}" done="0">
    <x18tc:text xml:space="preserve">tea -- 30
mug -- 225</x18tc:text>
  </x18tc:threadedComment>
  <x18tc:threadedComment ref="F5" dT="2025-01-26T16:44:21.00" personId="{0b556d6d-989b-4200-9d10-9c3236b3c99b}" id="{36723e32-78db-4e77-a2ac-fb707a18891f}" done="0">
    <x18tc:text xml:space="preserve">travel -- 10
food -- 10</x18tc:text>
  </x18tc:threadedComment>
  <x18tc:threadedComment ref="F19" dT="2025-02-09T17:24:55.00" personId="{0b556d6d-989b-4200-9d10-9c3236b3c99b}" id="{ba1781a2-2222-4b0c-a598-15ea23dbbe1e}" done="0">
    <x18tc:text xml:space="preserve">travel -- 10
tea -- 30</x18tc:text>
  </x18tc:threadedComment>
  <x18tc:threadedComment ref="F13" dT="2025-02-03T17:29:25.00" personId="{0b556d6d-989b-4200-9d10-9c3236b3c99b}" id="{011f3b25-7cea-4923-bae1-5bb8a127e8aa}" done="0">
    <x18tc:text xml:space="preserve">food_n -- 20</x18tc:text>
  </x18tc:threadedComment>
  <x18tc:threadedComment ref="F12" dT="2025-02-03T17:32:43.00" personId="{0b556d6d-989b-4200-9d10-9c3236b3c99b}" id="{91eae4ac-1a5e-47e5-827c-af53bc5ef013}" done="0">
    <x18tc:text xml:space="preserve">tea -- 35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" dT="2025-03-10T23:20:19.00" personId="{0b556d6d-989b-4200-9d10-9c3236b3c99b}" id="{f8cb9840-e8d8-4eb4-a5ec-069be7531035}" done="0">
    <x18tc:text xml:space="preserve">mess_tool_for_sit -- 220
jharu -- 160
lobon -- 22
pepe -- 20</x18tc:text>
  </x18tc:threadedComment>
  <x18tc:threadedComment ref="H13" dT="2025-03-03T18:33:50.00" personId="{0b556d6d-989b-4200-9d10-9c3236b3c99b}" id="{29d855e5-ff64-4229-a5a0-49cdf58617f2}" done="0">
    <x18tc:text xml:space="preserve">tea -- 15</x18tc:text>
  </x18tc:threadedComment>
  <x18tc:threadedComment ref="I34" dT="2025-03-25T16:21:12.00" personId="{0b556d6d-989b-4200-9d10-9c3236b3c99b}" id="{8f2f9ab8-237b-4a52-b021-015f92e5abab}" done="0">
    <x18tc:text xml:space="preserve">donation -- 100
current bill -- 225</x18tc:text>
  </x18tc:threadedComment>
  <x18tc:threadedComment ref="H20" dT="2025-03-10T23:19:04.00" personId="{0b556d6d-989b-4200-9d10-9c3236b3c99b}" id="{baca4046-e88b-49a7-bede-5d4d56f4c0d1}" done="0">
    <x18tc:text xml:space="preserve">travel -- 30</x18tc:text>
  </x18tc:threadedComment>
  <x18tc:threadedComment ref="H35" dT="2025-03-25T16:18:44.00" personId="{0b556d6d-989b-4200-9d10-9c3236b3c99b}" id="{4c2e468c-9c98-437a-a915-6123996feab8}" done="0">
    <x18tc:text xml:space="preserve">tea -- 15
mess_bazar -- 175</x18tc:text>
  </x18tc:threadedComment>
  <x18tc:threadedComment ref="H36" dT="2025-03-26T14:44:35.00" personId="{0b556d6d-989b-4200-9d10-9c3236b3c99b}" id="{47d4165f-38f7-44fe-9e61-42c6d30023b6}" done="0">
    <x18tc:text xml:space="preserve">mess_bazar -- 60
tea -- 15
selun -- 70
donation -- 200 (moyla)</x18tc:text>
  </x18tc:threadedComment>
  <x18tc:threadedComment ref="H34" dT="2025-03-25T16:08:51.00" personId="{0b556d6d-989b-4200-9d10-9c3236b3c99b}" id="{43487e71-0d59-4a79-bcde-03c5b84ffbbd}" done="0">
    <x18tc:text xml:space="preserve">tea -- 15
med -- 70</x18tc:text>
  </x18tc:threadedComment>
  <x18tc:threadedComment ref="I9" dT="2025-02-28T09:57:16.00" personId="{0b556d6d-989b-4200-9d10-9c3236b3c99b}" id="{7a091626-3fc5-441a-a1e3-2fb4410ea6c3}" done="0">
    <x18tc:text xml:space="preserve">home -- 10200
mobile_home -- 208</x18tc:text>
  </x18tc:threadedComment>
  <x18tc:threadedComment ref="H21" dT="2025-03-12T17:34:51.00" personId="{0b556d6d-989b-4200-9d10-9c3236b3c99b}" id="{b1a9aad5-3315-420e-a318-f1fcb164e220}" done="0">
    <x18tc:text xml:space="preserve">med -- 70
tea -- 5</x18tc:text>
  </x18tc:threadedComment>
  <x18tc:threadedComment ref="C14" dT="2025-03-16T23:16:21.00" personId="{0b556d6d-989b-4200-9d10-9c3236b3c99b}" id="{7a29c968-bc1e-4051-9f79-82b83fffd830}" done="0">
    <x18tc:text xml:space="preserve">monir</x18tc:text>
  </x18tc:threadedComment>
  <x18tc:threadedComment ref="C11" dT="2025-03-08T08:05:05.00" personId="{0b556d6d-989b-4200-9d10-9c3236b3c99b}" id="{512b7d75-2b5d-4d97-af9f-882a9392c378}" done="0">
    <x18tc:text xml:space="preserve">neamul -- 10000+10
will return within 5Apr</x18tc:text>
  </x18tc:threadedComment>
  <x18tc:threadedComment ref="I26" dT="2025-03-16T23:12:56.00" personId="{0b556d6d-989b-4200-9d10-9c3236b3c99b}" id="{fdd7e354-fb4d-4916-8a77-70cc2998278a}" done="0">
    <x18tc:text xml:space="preserve">pant -- 2190</x18tc:text>
  </x18tc:threadedComment>
  <x18tc:threadedComment ref="H28" dT="2025-03-21T13:08:18.00" personId="{0b556d6d-989b-4200-9d10-9c3236b3c99b}" id="{243fbde8-fd39-4893-b034-5a2fec01f68d}" done="0">
    <x18tc:text xml:space="preserve">tea -- 25</x18tc:text>
  </x18tc:threadedComment>
  <x18tc:threadedComment ref="H22" dT="2025-03-12T17:34:33.00" personId="{0b556d6d-989b-4200-9d10-9c3236b3c99b}" id="{0dff1a71-4636-49b7-8233-97f629ebadb7}" done="0">
    <x18tc:text xml:space="preserve">mess_bazar -- 570
tea -- 17</x18tc:text>
  </x18tc:threadedComment>
  <x18tc:threadedComment ref="I10" dT="2025-02-28T09:57:32.00" personId="{0b556d6d-989b-4200-9d10-9c3236b3c99b}" id="{fd1adb98-5753-4392-bf2d-b0ef83da80ba}" done="0">
    <x18tc:text xml:space="preserve">eximBank -- 2500
knickBand -- 2440</x18tc:text>
  </x18tc:threadedComment>
  <x18tc:threadedComment ref="H27" dT="2025-03-21T13:08:06.00" personId="{0b556d6d-989b-4200-9d10-9c3236b3c99b}" id="{3bfe7acd-3d33-4174-87df-69d7bd9df68e}" done="0">
    <x18tc:text xml:space="preserve">tea -- 17</x18tc:text>
  </x18tc:threadedComment>
  <x18tc:threadedComment ref="H9" dT="2025-02-28T09:57:40.00" personId="{0b556d6d-989b-4200-9d10-9c3236b3c99b}" id="{29efb126-9d3e-4e61-9472-5030ddbf950d}" done="0">
    <x18tc:text xml:space="preserve">tea -- 30</x18tc:text>
  </x18tc:threadedComment>
  <x18tc:threadedComment ref="C19" dT="2025-03-24T17:18:32.00" personId="{0b556d6d-989b-4200-9d10-9c3236b3c99b}" id="{f1a01832-a572-415f-b62a-f01d61c729ab}" done="0">
    <x18tc:text xml:space="preserve">tonmoy vai</x18tc:text>
  </x18tc:threadedComment>
  <x18tc:threadedComment ref="H11" dT="2025-03-01T13:51:46.00" personId="{0b556d6d-989b-4200-9d10-9c3236b3c99b}" id="{60eaa974-9f3c-4930-a4d0-18bf0f5f3e10}" done="0">
    <x18tc:text xml:space="preserve">food_nasta_m -- 30
tea -- 50
food_kola -- 50
bazar_mess -- 800</x18tc:text>
  </x18tc:threadedComment>
  <x18tc:threadedComment ref="H30" dT="2025-03-23T17:57:39.00" personId="{0b556d6d-989b-4200-9d10-9c3236b3c99b}" id="{a664d12e-ad0c-43fc-9f38-177352d8aa11}" done="0">
    <x18tc:text xml:space="preserve">tea -- 40
mess_bazar -- 250-50</x18tc:text>
  </x18tc:threadedComment>
  <x18tc:threadedComment ref="C20" dT="2025-03-24T17:18:40.00" personId="{0b556d6d-989b-4200-9d10-9c3236b3c99b}" id="{611bad1d-5180-45a4-a0b4-c6b56bfc9174}" done="0">
    <x18tc:text xml:space="preserve">monir</x18tc:text>
  </x18tc:threadedComment>
  <x18tc:threadedComment ref="H24" dT="2025-03-14T18:52:05.00" personId="{0b556d6d-989b-4200-9d10-9c3236b3c99b}" id="{35ce3b52-86b4-4965-9a0e-493177892b39}" done="0">
    <x18tc:text xml:space="preserve">tea -- 17</x18tc:text>
  </x18tc:threadedComment>
  <x18tc:threadedComment ref="H18" dT="2025-03-10T23:17:57.00" personId="{0b556d6d-989b-4200-9d10-9c3236b3c99b}" id="{4974d12f-cb76-4fd5-97a3-bb774b4b9155}" done="0">
    <x18tc:text xml:space="preserve">home_rent -- 7000
mess_bazar -- 1010
tea -- 15</x18tc:text>
  </x18tc:threadedComment>
  <x18tc:threadedComment ref="H32" dT="2025-03-23T17:56:02.00" personId="{0b556d6d-989b-4200-9d10-9c3236b3c99b}" id="{b1fa9c43-16e8-4627-bfa0-58d3c16516ba}" done="0">
    <x18tc:text xml:space="preserve">travel -- 30
tea -- 15
shopping_abbu -- 4147</x18tc:text>
  </x18tc:threadedComment>
  <x18tc:threadedComment ref="I24" dT="2025-03-14T18:52:04.00" personId="{0b556d6d-989b-4200-9d10-9c3236b3c99b}" id="{5f15597c-6e61-4817-9e71-ee3d3f75190f}" done="0">
    <x18tc:text xml:space="preserve">given to home -- 10100</x18tc:text>
  </x18tc:threadedComment>
  <x18tc:threadedComment ref="H31" dT="2025-03-23T17:56:39.00" personId="{0b556d6d-989b-4200-9d10-9c3236b3c99b}" id="{8a290515-e7f9-408a-a534-a6e37dd04030}" done="0">
    <x18tc:text xml:space="preserve">food_iftar -- 140</x18tc:text>
  </x18tc:threadedComment>
  <x18tc:threadedComment ref="H23" dT="2025-03-13T23:43:21.00" personId="{0b556d6d-989b-4200-9d10-9c3236b3c99b}" id="{8eb1e6b6-b400-4a4c-973a-49a339c792ba}" done="0">
    <x18tc:text xml:space="preserve">ext_shoping -- 1480
tea -- 15
food_n_ice-cream -- 80</x18tc:text>
  </x18tc:threadedComment>
  <x18tc:threadedComment ref="H29" dT="2025-03-23T18:00:09.00" personId="{0b556d6d-989b-4200-9d10-9c3236b3c99b}" id="{4af62767-503b-46f4-9165-c9a885dc0bc2}" done="0">
    <x18tc:text xml:space="preserve">tea -- 15
mess_bazar -- 350
donation -- 100
food_n -- 35</x18tc:text>
  </x18tc:threadedComment>
  <x18tc:threadedComment ref="I32" dT="2025-03-23T18:11:17.00" personId="{0b556d6d-989b-4200-9d10-9c3236b3c99b}" id="{79797a9e-22e7-4106-b5dd-60e5850db71e}" done="0">
    <x18tc:text xml:space="preserve">mobile -- 300</x18tc:text>
  </x18tc:threadedComment>
  <x18tc:threadedComment ref="H15" dT="2025-03-07T13:49:22.00" personId="{0b556d6d-989b-4200-9d10-9c3236b3c99b}" id="{fba6b837-f2a3-4563-8a35-85d58eafff06}" done="0">
    <x18tc:text xml:space="preserve">tea--15</x18tc:text>
  </x18tc:threadedComment>
  <x18tc:threadedComment ref="H16" dT="2025-03-07T13:49:20.00" personId="{0b556d6d-989b-4200-9d10-9c3236b3c99b}" id="{13194a61-09f2-460a-9391-a06b4012c94d}" done="0">
    <x18tc:text xml:space="preserve">travel -- 90</x18tc:text>
  </x18tc:threadedComment>
  <x18tc:threadedComment ref="H33" dT="2025-03-23T17:55:41.00" personId="{0b556d6d-989b-4200-9d10-9c3236b3c99b}" id="{a0d2fc2d-62b5-4f16-a1f5-c7d3ae6358ea}" done="0">
    <x18tc:text xml:space="preserve">mess_bazar -- 155
tea -- 50</x18tc:text>
  </x18tc:threadedComment>
  <x18tc:threadedComment ref="H10" dT="2025-02-28T16:55:21.00" personId="{0b556d6d-989b-4200-9d10-9c3236b3c99b}" id="{d7caefae-aeea-415c-92fa-42cba0062707}" done="0">
    <x18tc:text xml:space="preserve">tea -- 50
food -- 80
bulb for washroom -- 180
med -- 75</x18tc:text>
  </x18tc:threadedComment>
  <x18tc:threadedComment ref="H17" dT="2025-03-07T13:49:18.00" personId="{0b556d6d-989b-4200-9d10-9c3236b3c99b}" id="{bdbf6262-03d9-46c9-9005-332cef35d817}" done="0">
    <x18tc:text xml:space="preserve">mess_iftar -- 130</x18tc:text>
  </x18tc:threadedComment>
  <x18tc:threadedComment ref="H12" dT="2025-03-02T16:48:58.00" personId="{0b556d6d-989b-4200-9d10-9c3236b3c99b}" id="{3f256c03-7c4a-4e98-9d09-4921a5bc024a}" done="0">
    <x18tc:text xml:space="preserve">tea -- 15
mess_bazar -- 200 (given to aziz)</x18tc:text>
  </x18tc:threadedComment>
  <x18tc:threadedComment ref="H26" dT="2025-03-16T23:12:44.00" personId="{0b556d6d-989b-4200-9d10-9c3236b3c99b}" id="{74f54766-714f-4f6f-948c-e0277d28236e}" done="0">
    <x18tc:text xml:space="preserve">travel dh to bar -- 1600
tra -- 50</x18tc:text>
  </x18tc:threadedComment>
  <x18tc:threadedComment ref="H18" dT="2025-03-07T13:59:30.00" personId="{0b556d6d-989b-4200-9d10-9c3236b3c99b}" id="{fafdbf5d-9ad7-4eca-8062-eec431f3c537}" done="1">
    <x18tc:text xml:space="preserve">home_rent -- 7000
Mess_bazar -- 750+260
Tea-- 15</x18tc:text>
  </x18tc:threadedComment>
  <x18tc:threadedComment ref="H25" dT="2025-03-16T23:12:20.00" personId="{0b556d6d-989b-4200-9d10-9c3236b3c99b}" id="{2e33b7a1-7644-440f-a581-183dff7ca5c6}" done="0">
    <x18tc:text xml:space="preserve">tea -- 15</x18tc:text>
  </x18tc:threadedComment>
  <x18tc:threadedComment ref="I12" dT="2025-03-07T13:49:24.00" personId="{0b556d6d-989b-4200-9d10-9c3236b3c99b}" id="{45590ba3-baa9-4e7a-a0df-de9da5b1eab6}" done="0">
    <x18tc:text xml:space="preserve">mobile -- 297</x18tc:text>
  </x18tc:threadedComment>
  <x18tc:threadedComment ref="C10" dT="2025-03-07T13:49:23.00" personId="{0b556d6d-989b-4200-9d10-9c3236b3c99b}" id="{e76cc02b-498c-42f4-840c-b852fc0120bd}" done="0">
    <x18tc:text xml:space="preserve">ayon -- 1000 return</x18tc:text>
  </x18tc:threadedComment>
  <x18tc:threadedComment ref="H14" dT="2025-03-07T13:49:23.00" personId="{0b556d6d-989b-4200-9d10-9c3236b3c99b}" id="{be83e5f0-22e6-423d-ab0b-6d7e9cb9275f}" done="0">
    <x18tc:text xml:space="preserve">mess_fixed -- 180
mess_bazar -- 240
med -- 280
tea--15
food_kola -- 30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5-03-26T15:29:39.00" personId="{0b556d6d-989b-4200-9d10-9c3236b3c99b}" id="{d52980fb-f66f-49d7-922a-86e0ba43e77b}" done="0">
    <x18tc:text xml:space="preserve">savings eximBank sav_2.5</x18tc:text>
  </x18tc:threadedComment>
  <x18tc:threadedComment ref="AR6" dT="2025-03-29T18:19:48.00" personId="{0b556d6d-989b-4200-9d10-9c3236b3c99b}" id="{23530c14-5a33-4486-a2b8-14af5894ab86}" done="0">
    <x18tc:text xml:space="preserve">100 mosjid
200 for ifter
1000 for fetra</x18tc:text>
  </x18tc:threadedComment>
  <x18tc:threadedComment ref="AL7" dT="2025-03-29T18:17:34.00" personId="{0b556d6d-989b-4200-9d10-9c3236b3c99b}" id="{1832882a-4392-4c6c-8f71-9b654363c715}" done="0">
    <x18tc:text xml:space="preserve">given to nodi</x18tc:text>
  </x18tc:threadedComment>
  <x18tc:threadedComment ref="AQ4" dT="2025-03-29T18:20:54.00" personId="{0b556d6d-989b-4200-9d10-9c3236b3c99b}" id="{433b8004-2a23-47f3-bce2-a313376da154}" done="0">
    <x18tc:text xml:space="preserve">exim sav 2.5</x18tc:text>
  </x18tc:threadedComment>
  <x18tc:threadedComment ref="AL5" dT="2025-03-29T18:12:41.00" personId="{0b556d6d-989b-4200-9d10-9c3236b3c99b}" id="{f0910e5b-7013-4480-a6f2-0213d388c258}" done="0">
    <x18tc:text xml:space="preserve">sofeda</x18tc:text>
  </x18tc:threadedComment>
  <x18tc:threadedComment ref="D6" dT="2025-03-25T17:15:51.00" personId="{0b556d6d-989b-4200-9d10-9c3236b3c99b}" id="{ff3ada8a-c6b4-43fc-a064-4b5eb47860a5}" done="0">
    <x18tc:text xml:space="preserve">eid salami by vio</x18tc:text>
  </x18tc:threadedComment>
  <x18tc:threadedComment ref="AL6" dT="2025-03-29T18:13:12.00" personId="{0b556d6d-989b-4200-9d10-9c3236b3c99b}" id="{043f5803-b68a-48bf-b7ac-d1cc5f0cf595}" done="0">
    <x18tc:text xml:space="preserve">kola -- 140
ice-cream -- 400
abbu -- 7000</x18tc:text>
  </x18tc:threadedComment>
  <x18tc:threadedComment ref="D9" dT="2025-03-26T15:30:48.00" personId="{0b556d6d-989b-4200-9d10-9c3236b3c99b}" id="{1eaaff15-755b-4bec-b3c5-bc34782c0677}" done="0">
    <x18tc:text xml:space="preserve">return from mess, prev month</x18tc:text>
  </x18tc:threadedComment>
  <x18tc:threadedComment ref="D8" dT="2025-03-26T15:30:12.00" personId="{0b556d6d-989b-4200-9d10-9c3236b3c99b}" id="{3e4b4e0c-7025-4f1f-8a14-b488d62d777a}" done="0">
    <x18tc:text xml:space="preserve">from Neamul, for meal cost</x18tc:text>
  </x18tc:threadedComment>
  <x18tc:threadedComment ref="D29" dT="2025-04-27T16:57:17.00" personId="{0b556d6d-989b-4200-9d10-9c3236b3c99b}" id="{83b019ac-dd91-4689-81ab-49aac539a9e7}" done="0">
    <x18tc:text xml:space="preserve">rajib vai</x18tc:text>
  </x18tc:threadedComment>
  <x18tc:threadedComment ref="D27" dT="2025-04-27T16:57:07.00" personId="{0b556d6d-989b-4200-9d10-9c3236b3c99b}" id="{01ffa056-dd0c-421e-bf93-db1ae5946e8d}" done="0">
    <x18tc:text xml:space="preserve">rajib vai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5-11-02T18:22:59.00" personId="{0b556d6d-989b-4200-9d10-9c3236b3c99b}" id="{b79705c7-5af4-416c-b561-84c95a0aa36c}" done="0">
    <x18tc:text xml:space="preserve">adjust</x18tc:text>
  </x18tc:threadedComment>
  <x18tc:threadedComment ref="D8" dT="2025-11-02T18:33:06.00" personId="{0b556d6d-989b-4200-9d10-9c3236b3c99b}" id="{8b46332a-c21f-4137-844c-482abe3282a4}" done="0">
    <x18tc:text xml:space="preserve">Adjust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3" dT="2026-01-03T16:41:25.00" personId="{0b556d6d-989b-4200-9d10-9c3236b3c99b}" id="{a4817502-28d1-4208-8a0a-4aa037efeb64}" done="0">
    <x18tc:text xml:space="preserve">abbu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9" dT="2026-03-10T15:34:35.00" personId="{0b556d6d-989b-4200-9d10-9c3236b3c99b}" id="{0c4258da-5ff4-4382-a0fb-e64a4beb2e5b}" done="0">
    <x18tc:text xml:space="preserve">return 2040 on 10-03-25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6-03-29T17:19:13.00" personId="{0b556d6d-989b-4200-9d10-9c3236b3c99b}" id="{a26595eb-a58d-4149-ab12-9510604bd183}" done="0">
    <x18tc:text xml:space="preserve">return 10K, lend from ammu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7" dT="2026-05-29T16:25:36.00" personId="{0b556d6d-989b-4200-9d10-9c3236b3c99b}" id="{e6d14ec7-b098-44d4-88f8-08476d2c139e}" done="0">
    <x18tc:text xml:space="preserve">Return 2500 on 29 May 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11" Type="http://schemas.openxmlformats.org/officeDocument/2006/relationships/table" Target="../tables/table3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11" Type="http://schemas.openxmlformats.org/officeDocument/2006/relationships/table" Target="../tables/table8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11" Type="http://schemas.openxmlformats.org/officeDocument/2006/relationships/table" Target="../tables/table13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9" Type="http://schemas.openxmlformats.org/officeDocument/2006/relationships/table" Target="../tables/table21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Relationship Id="rId9" Type="http://schemas.openxmlformats.org/officeDocument/2006/relationships/table" Target="../tables/table26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33.xml"/><Relationship Id="rId10" Type="http://schemas.openxmlformats.org/officeDocument/2006/relationships/table" Target="../tables/table32.xml"/><Relationship Id="rId9" Type="http://schemas.openxmlformats.org/officeDocument/2006/relationships/table" Target="../tables/table31.xml"/><Relationship Id="rId7" Type="http://schemas.openxmlformats.org/officeDocument/2006/relationships/table" Target="../tables/table29.xml"/><Relationship Id="rId8" Type="http://schemas.openxmlformats.org/officeDocument/2006/relationships/table" Target="../tables/table3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38.xml"/><Relationship Id="rId10" Type="http://schemas.openxmlformats.org/officeDocument/2006/relationships/table" Target="../tables/table37.xml"/><Relationship Id="rId9" Type="http://schemas.openxmlformats.org/officeDocument/2006/relationships/table" Target="../tables/table36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11" Type="http://schemas.openxmlformats.org/officeDocument/2006/relationships/table" Target="../tables/table43.xml"/><Relationship Id="rId10" Type="http://schemas.openxmlformats.org/officeDocument/2006/relationships/table" Target="../tables/table42.xml"/><Relationship Id="rId9" Type="http://schemas.openxmlformats.org/officeDocument/2006/relationships/table" Target="../tables/table41.xml"/><Relationship Id="rId7" Type="http://schemas.openxmlformats.org/officeDocument/2006/relationships/table" Target="../tables/table39.xml"/><Relationship Id="rId8" Type="http://schemas.openxmlformats.org/officeDocument/2006/relationships/table" Target="../tables/table4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1.xml"/><Relationship Id="rId13" Type="http://schemas.openxmlformats.org/officeDocument/2006/relationships/table" Target="../tables/table45.xml"/><Relationship Id="rId12" Type="http://schemas.openxmlformats.org/officeDocument/2006/relationships/table" Target="../tables/table44.xml"/><Relationship Id="rId15" Type="http://schemas.openxmlformats.org/officeDocument/2006/relationships/table" Target="../tables/table47.xml"/><Relationship Id="rId14" Type="http://schemas.openxmlformats.org/officeDocument/2006/relationships/table" Target="../tables/table46.xml"/><Relationship Id="rId17" Type="http://schemas.openxmlformats.org/officeDocument/2006/relationships/table" Target="../tables/table49.xml"/><Relationship Id="rId16" Type="http://schemas.openxmlformats.org/officeDocument/2006/relationships/table" Target="../tables/table48.xml"/><Relationship Id="rId5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11" Type="http://schemas.openxmlformats.org/officeDocument/2006/relationships/table" Target="../tables/table53.xml"/><Relationship Id="rId10" Type="http://schemas.openxmlformats.org/officeDocument/2006/relationships/table" Target="../tables/table52.xml"/><Relationship Id="rId13" Type="http://schemas.openxmlformats.org/officeDocument/2006/relationships/table" Target="../tables/table55.xml"/><Relationship Id="rId12" Type="http://schemas.openxmlformats.org/officeDocument/2006/relationships/table" Target="../tables/table54.xml"/><Relationship Id="rId9" Type="http://schemas.openxmlformats.org/officeDocument/2006/relationships/table" Target="../tables/table51.xml"/><Relationship Id="rId8" Type="http://schemas.openxmlformats.org/officeDocument/2006/relationships/table" Target="../tables/table5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3.xml"/><Relationship Id="rId13" Type="http://schemas.openxmlformats.org/officeDocument/2006/relationships/table" Target="../tables/table57.xml"/><Relationship Id="rId12" Type="http://schemas.openxmlformats.org/officeDocument/2006/relationships/table" Target="../tables/table56.xml"/><Relationship Id="rId15" Type="http://schemas.openxmlformats.org/officeDocument/2006/relationships/table" Target="../tables/table59.xml"/><Relationship Id="rId14" Type="http://schemas.openxmlformats.org/officeDocument/2006/relationships/table" Target="../tables/table58.xml"/><Relationship Id="rId17" Type="http://schemas.openxmlformats.org/officeDocument/2006/relationships/table" Target="../tables/table61.xml"/><Relationship Id="rId16" Type="http://schemas.openxmlformats.org/officeDocument/2006/relationships/table" Target="../tables/table60.xml"/><Relationship Id="rId5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11" Type="http://schemas.openxmlformats.org/officeDocument/2006/relationships/table" Target="../tables/table65.xml"/><Relationship Id="rId10" Type="http://schemas.openxmlformats.org/officeDocument/2006/relationships/table" Target="../tables/table64.xml"/><Relationship Id="rId13" Type="http://schemas.openxmlformats.org/officeDocument/2006/relationships/table" Target="../tables/table67.xml"/><Relationship Id="rId12" Type="http://schemas.openxmlformats.org/officeDocument/2006/relationships/table" Target="../tables/table66.xml"/><Relationship Id="rId9" Type="http://schemas.openxmlformats.org/officeDocument/2006/relationships/table" Target="../tables/table63.xml"/><Relationship Id="rId8" Type="http://schemas.openxmlformats.org/officeDocument/2006/relationships/table" Target="../tables/table6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5.xml"/><Relationship Id="rId13" Type="http://schemas.openxmlformats.org/officeDocument/2006/relationships/table" Target="../tables/table69.xml"/><Relationship Id="rId12" Type="http://schemas.openxmlformats.org/officeDocument/2006/relationships/table" Target="../tables/table68.xml"/><Relationship Id="rId15" Type="http://schemas.openxmlformats.org/officeDocument/2006/relationships/table" Target="../tables/table71.xml"/><Relationship Id="rId14" Type="http://schemas.openxmlformats.org/officeDocument/2006/relationships/table" Target="../tables/table70.xml"/><Relationship Id="rId17" Type="http://schemas.openxmlformats.org/officeDocument/2006/relationships/table" Target="../tables/table73.xml"/><Relationship Id="rId16" Type="http://schemas.openxmlformats.org/officeDocument/2006/relationships/table" Target="../tables/table72.xml"/><Relationship Id="rId5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6.xml"/><Relationship Id="rId13" Type="http://schemas.openxmlformats.org/officeDocument/2006/relationships/table" Target="../tables/table75.xml"/><Relationship Id="rId12" Type="http://schemas.openxmlformats.org/officeDocument/2006/relationships/table" Target="../tables/table74.xml"/><Relationship Id="rId15" Type="http://schemas.openxmlformats.org/officeDocument/2006/relationships/table" Target="../tables/table77.xml"/><Relationship Id="rId14" Type="http://schemas.openxmlformats.org/officeDocument/2006/relationships/table" Target="../tables/table76.xml"/><Relationship Id="rId17" Type="http://schemas.openxmlformats.org/officeDocument/2006/relationships/table" Target="../tables/table79.xml"/><Relationship Id="rId16" Type="http://schemas.openxmlformats.org/officeDocument/2006/relationships/table" Target="../tables/table78.xml"/><Relationship Id="rId5" Type="http://schemas.openxmlformats.org/officeDocument/2006/relationships/vmlDrawing" Target="../drawings/vmlDrawing8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11" Type="http://schemas.openxmlformats.org/officeDocument/2006/relationships/table" Target="../tables/table83.xml"/><Relationship Id="rId10" Type="http://schemas.openxmlformats.org/officeDocument/2006/relationships/table" Target="../tables/table82.xml"/><Relationship Id="rId13" Type="http://schemas.openxmlformats.org/officeDocument/2006/relationships/table" Target="../tables/table85.xml"/><Relationship Id="rId12" Type="http://schemas.openxmlformats.org/officeDocument/2006/relationships/table" Target="../tables/table84.xml"/><Relationship Id="rId9" Type="http://schemas.openxmlformats.org/officeDocument/2006/relationships/table" Target="../tables/table81.xml"/><Relationship Id="rId8" Type="http://schemas.openxmlformats.org/officeDocument/2006/relationships/table" Target="../tables/table8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8.xml"/><Relationship Id="rId13" Type="http://schemas.openxmlformats.org/officeDocument/2006/relationships/table" Target="../tables/table87.xml"/><Relationship Id="rId12" Type="http://schemas.openxmlformats.org/officeDocument/2006/relationships/table" Target="../tables/table86.xml"/><Relationship Id="rId15" Type="http://schemas.openxmlformats.org/officeDocument/2006/relationships/table" Target="../tables/table89.xml"/><Relationship Id="rId14" Type="http://schemas.openxmlformats.org/officeDocument/2006/relationships/table" Target="../tables/table88.xml"/><Relationship Id="rId17" Type="http://schemas.openxmlformats.org/officeDocument/2006/relationships/table" Target="../tables/table91.xml"/><Relationship Id="rId16" Type="http://schemas.openxmlformats.org/officeDocument/2006/relationships/table" Target="../tables/table90.xml"/><Relationship Id="rId5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5" max="5" width="10.0"/>
    <col customWidth="1" min="8" max="8" width="2.38"/>
  </cols>
  <sheetData>
    <row r="1" ht="11.25" customHeight="1">
      <c r="A1" s="1"/>
    </row>
    <row r="2">
      <c r="A2" s="2"/>
      <c r="B2" s="3" t="s">
        <v>0</v>
      </c>
      <c r="C2" s="4">
        <f t="shared" ref="C2:D2" si="1">sum(C4:C34)</f>
        <v>46600</v>
      </c>
      <c r="D2" s="5">
        <f t="shared" si="1"/>
        <v>43050</v>
      </c>
      <c r="E2" s="6" t="s">
        <v>1</v>
      </c>
      <c r="F2" s="7" t="s">
        <v>2</v>
      </c>
      <c r="G2" s="8">
        <f>C2-D2-G5</f>
        <v>1855</v>
      </c>
      <c r="H2" s="1"/>
      <c r="I2" s="9">
        <f>49500-J3</f>
        <v>8500</v>
      </c>
      <c r="J2" s="10" t="s">
        <v>3</v>
      </c>
      <c r="K2" s="10" t="s">
        <v>4</v>
      </c>
      <c r="L2" s="10" t="s">
        <v>5</v>
      </c>
    </row>
    <row r="3">
      <c r="B3" s="11" t="s">
        <v>6</v>
      </c>
      <c r="C3" s="12" t="s">
        <v>7</v>
      </c>
      <c r="D3" s="13" t="s">
        <v>4</v>
      </c>
      <c r="E3" s="14"/>
      <c r="F3" s="7" t="s">
        <v>8</v>
      </c>
      <c r="G3" s="8">
        <f>49500 - C2</f>
        <v>2900</v>
      </c>
      <c r="I3" s="15" t="s">
        <v>9</v>
      </c>
      <c r="J3" s="16">
        <f t="shared" ref="J3:L3" si="2">sum(J4:J17)</f>
        <v>41000</v>
      </c>
      <c r="K3" s="16">
        <f t="shared" si="2"/>
        <v>42730</v>
      </c>
      <c r="L3" s="16">
        <f t="shared" si="2"/>
        <v>1850</v>
      </c>
    </row>
    <row r="4">
      <c r="B4" s="17">
        <v>45651.0</v>
      </c>
      <c r="C4" s="18">
        <v>11000.0</v>
      </c>
      <c r="D4" s="18">
        <v>10500.0</v>
      </c>
      <c r="E4" s="19">
        <f>sum(D4:D10)</f>
        <v>28265</v>
      </c>
      <c r="F4" s="20" t="s">
        <v>10</v>
      </c>
      <c r="G4" s="21"/>
      <c r="I4" s="22" t="s">
        <v>11</v>
      </c>
      <c r="J4" s="23">
        <f>6000+2000+2000</f>
        <v>10000</v>
      </c>
      <c r="K4" s="24">
        <f>6000+4000</f>
        <v>10000</v>
      </c>
      <c r="L4" s="25">
        <f t="shared" ref="L4:L14" si="3">J4-K4</f>
        <v>0</v>
      </c>
    </row>
    <row r="5">
      <c r="B5" s="26">
        <v>45652.0</v>
      </c>
      <c r="C5" s="27"/>
      <c r="D5" s="27">
        <f>20+30+220</f>
        <v>270</v>
      </c>
      <c r="E5" s="28"/>
      <c r="F5" s="29" t="s">
        <v>12</v>
      </c>
      <c r="G5" s="30">
        <f>500+2000-635-1510-200-250+2000-210</f>
        <v>1695</v>
      </c>
      <c r="I5" s="31" t="s">
        <v>13</v>
      </c>
      <c r="J5" s="32">
        <v>12000.0</v>
      </c>
      <c r="K5" s="33">
        <v>10000.0</v>
      </c>
      <c r="L5" s="34">
        <f t="shared" si="3"/>
        <v>2000</v>
      </c>
    </row>
    <row r="6">
      <c r="B6" s="35">
        <v>45653.0</v>
      </c>
      <c r="C6" s="36">
        <v>6500.0</v>
      </c>
      <c r="D6" s="36">
        <v>6000.0</v>
      </c>
      <c r="E6" s="37"/>
      <c r="F6" s="38"/>
      <c r="G6" s="39"/>
      <c r="I6" s="31" t="s">
        <v>14</v>
      </c>
      <c r="J6" s="32">
        <v>7000.0</v>
      </c>
      <c r="K6" s="33">
        <v>7000.0</v>
      </c>
      <c r="L6" s="34">
        <f t="shared" si="3"/>
        <v>0</v>
      </c>
    </row>
    <row r="7">
      <c r="B7" s="26">
        <v>45654.0</v>
      </c>
      <c r="C7" s="40">
        <v>10000.0</v>
      </c>
      <c r="D7" s="27">
        <f>60+110+250+50+130+7000+180+20+20</f>
        <v>7820</v>
      </c>
      <c r="E7" s="28"/>
      <c r="F7" s="41"/>
      <c r="G7" s="39"/>
      <c r="I7" s="31" t="s">
        <v>15</v>
      </c>
      <c r="J7" s="32">
        <v>5000.0</v>
      </c>
      <c r="K7" s="42">
        <f>4100+180+100+450+50+500</f>
        <v>5380</v>
      </c>
      <c r="L7" s="34">
        <f t="shared" si="3"/>
        <v>-380</v>
      </c>
    </row>
    <row r="8">
      <c r="B8" s="35">
        <v>45655.0</v>
      </c>
      <c r="C8" s="43"/>
      <c r="D8" s="43">
        <f>35</f>
        <v>35</v>
      </c>
      <c r="E8" s="37"/>
      <c r="F8" s="44"/>
      <c r="G8" s="39"/>
      <c r="I8" s="31" t="s">
        <v>16</v>
      </c>
      <c r="J8" s="32">
        <v>2000.0</v>
      </c>
      <c r="K8" s="42">
        <f>200+250+635</f>
        <v>1085</v>
      </c>
      <c r="L8" s="34">
        <f t="shared" si="3"/>
        <v>915</v>
      </c>
    </row>
    <row r="9">
      <c r="B9" s="26">
        <v>45656.0</v>
      </c>
      <c r="C9" s="45">
        <v>2000.0</v>
      </c>
      <c r="D9" s="27">
        <f>15+200+20+10+635+1510</f>
        <v>2390</v>
      </c>
      <c r="E9" s="28"/>
      <c r="F9" s="41"/>
      <c r="G9" s="39"/>
      <c r="I9" s="31" t="s">
        <v>17</v>
      </c>
      <c r="J9" s="46">
        <v>0.0</v>
      </c>
      <c r="K9" s="47"/>
      <c r="L9" s="48">
        <f t="shared" si="3"/>
        <v>0</v>
      </c>
    </row>
    <row r="10">
      <c r="B10" s="49">
        <v>45657.0</v>
      </c>
      <c r="C10" s="50"/>
      <c r="D10" s="50">
        <f>1000+20+30+200</f>
        <v>1250</v>
      </c>
      <c r="E10" s="51"/>
      <c r="F10" s="52"/>
      <c r="G10" s="53"/>
      <c r="I10" s="31" t="s">
        <v>18</v>
      </c>
      <c r="J10" s="46">
        <v>0.0</v>
      </c>
      <c r="K10" s="47"/>
      <c r="L10" s="48">
        <f t="shared" si="3"/>
        <v>0</v>
      </c>
    </row>
    <row r="11">
      <c r="B11" s="26">
        <v>45658.0</v>
      </c>
      <c r="C11" s="27"/>
      <c r="D11" s="45">
        <f>20+10+15+200</f>
        <v>245</v>
      </c>
      <c r="E11" s="54">
        <f>sum(D11:D20)</f>
        <v>13410</v>
      </c>
      <c r="F11" s="55" t="s">
        <v>19</v>
      </c>
      <c r="G11" s="56">
        <f>sum(G12:G20)</f>
        <v>0</v>
      </c>
      <c r="I11" s="31" t="s">
        <v>20</v>
      </c>
      <c r="J11" s="32">
        <v>1000.0</v>
      </c>
      <c r="K11" s="42">
        <f>130+220+200+20+935+75+20+20</f>
        <v>1620</v>
      </c>
      <c r="L11" s="34">
        <f t="shared" si="3"/>
        <v>-620</v>
      </c>
    </row>
    <row r="12">
      <c r="B12" s="35">
        <v>45659.0</v>
      </c>
      <c r="C12" s="43"/>
      <c r="D12" s="43">
        <f>10+15</f>
        <v>25</v>
      </c>
      <c r="E12" s="37"/>
      <c r="F12" s="38" t="s">
        <v>21</v>
      </c>
      <c r="G12" s="57"/>
      <c r="I12" s="31" t="s">
        <v>22</v>
      </c>
      <c r="J12" s="32">
        <v>2000.0</v>
      </c>
      <c r="K12" s="47">
        <f>260+180+200+100+245+290+20+550+200+35+20+20+50+80+240+40</f>
        <v>2530</v>
      </c>
      <c r="L12" s="34">
        <f t="shared" si="3"/>
        <v>-530</v>
      </c>
    </row>
    <row r="13">
      <c r="B13" s="26">
        <v>45660.0</v>
      </c>
      <c r="C13" s="27"/>
      <c r="D13" s="45">
        <f>100+20+15+15+245</f>
        <v>395</v>
      </c>
      <c r="E13" s="28"/>
      <c r="F13" s="58"/>
      <c r="G13" s="59"/>
      <c r="I13" s="31" t="s">
        <v>23</v>
      </c>
      <c r="J13" s="32">
        <v>1000.0</v>
      </c>
      <c r="K13" s="47">
        <f>300+20+60+10+20+30+10+20+10+30+50+20+20+20+20+20+20+10+20</f>
        <v>710</v>
      </c>
      <c r="L13" s="34">
        <f t="shared" si="3"/>
        <v>290</v>
      </c>
    </row>
    <row r="14">
      <c r="B14" s="35">
        <v>45661.0</v>
      </c>
      <c r="C14" s="60">
        <v>10000.0</v>
      </c>
      <c r="D14" s="43">
        <f>290+15+20+20+2200</f>
        <v>2545</v>
      </c>
      <c r="E14" s="37"/>
      <c r="F14" s="61"/>
      <c r="G14" s="59"/>
      <c r="I14" s="31" t="s">
        <v>24</v>
      </c>
      <c r="J14" s="32">
        <v>1000.0</v>
      </c>
      <c r="K14" s="47">
        <f>30+110+40+40+35+15+30+15+15+30+15+20+15+30+15+15+50+75+15+55+15+15+15+50+35+30</f>
        <v>825</v>
      </c>
      <c r="L14" s="34">
        <f t="shared" si="3"/>
        <v>175</v>
      </c>
    </row>
    <row r="15">
      <c r="B15" s="26">
        <v>45662.0</v>
      </c>
      <c r="C15" s="27"/>
      <c r="D15" s="27">
        <f>20+15+4000+250</f>
        <v>4285</v>
      </c>
      <c r="E15" s="28"/>
      <c r="F15" s="58"/>
      <c r="G15" s="59"/>
      <c r="I15" s="62" t="s">
        <v>25</v>
      </c>
      <c r="K15" s="10">
        <f>290+1510+1000-2000+200</f>
        <v>1000</v>
      </c>
      <c r="L15" s="63"/>
    </row>
    <row r="16">
      <c r="B16" s="35">
        <v>45663.0</v>
      </c>
      <c r="C16" s="43"/>
      <c r="D16" s="43">
        <f>30+935</f>
        <v>965</v>
      </c>
      <c r="E16" s="37"/>
      <c r="F16" s="61"/>
      <c r="G16" s="59"/>
      <c r="I16" s="31" t="s">
        <v>26</v>
      </c>
      <c r="J16" s="64"/>
      <c r="K16" s="42">
        <f>200+20+110+50</f>
        <v>380</v>
      </c>
      <c r="L16" s="48"/>
    </row>
    <row r="17">
      <c r="B17" s="26">
        <v>45664.0</v>
      </c>
      <c r="C17" s="27"/>
      <c r="D17" s="45">
        <v>0.0</v>
      </c>
      <c r="E17" s="28"/>
      <c r="F17" s="58"/>
      <c r="G17" s="59"/>
      <c r="I17" s="65" t="s">
        <v>27</v>
      </c>
      <c r="J17" s="66"/>
      <c r="K17" s="67">
        <v>2200.0</v>
      </c>
      <c r="L17" s="68"/>
    </row>
    <row r="18">
      <c r="B18" s="35">
        <v>45665.0</v>
      </c>
      <c r="C18" s="43"/>
      <c r="D18" s="43">
        <f>10+15</f>
        <v>25</v>
      </c>
      <c r="E18" s="37"/>
      <c r="F18" s="61"/>
      <c r="G18" s="59"/>
    </row>
    <row r="19">
      <c r="B19" s="26">
        <v>45666.0</v>
      </c>
      <c r="C19" s="27"/>
      <c r="D19" s="27">
        <f>(250+300)+15+30</f>
        <v>595</v>
      </c>
      <c r="E19" s="28"/>
      <c r="F19" s="58"/>
      <c r="G19" s="59"/>
    </row>
    <row r="20">
      <c r="B20" s="49">
        <v>45667.0</v>
      </c>
      <c r="C20" s="69">
        <v>4100.0</v>
      </c>
      <c r="D20" s="50">
        <f>4100+180+(15*3+5)</f>
        <v>4330</v>
      </c>
      <c r="E20" s="51"/>
      <c r="F20" s="70"/>
      <c r="G20" s="71"/>
    </row>
    <row r="21">
      <c r="B21" s="26">
        <v>45668.0</v>
      </c>
      <c r="C21" s="27"/>
      <c r="D21" s="27">
        <f>200+50+450+15*5+75</f>
        <v>850</v>
      </c>
      <c r="E21" s="72">
        <f>sum(D21:D34)</f>
        <v>1375</v>
      </c>
      <c r="F21" s="73" t="s">
        <v>28</v>
      </c>
      <c r="G21" s="74">
        <f>sum(G22:G34)</f>
        <v>2560</v>
      </c>
    </row>
    <row r="22">
      <c r="B22" s="35">
        <v>45669.0</v>
      </c>
      <c r="C22" s="43"/>
      <c r="D22" s="43">
        <f>100+20</f>
        <v>120</v>
      </c>
      <c r="E22" s="37"/>
      <c r="F22" s="38" t="s">
        <v>29</v>
      </c>
      <c r="G22" s="75">
        <v>50.0</v>
      </c>
    </row>
    <row r="23">
      <c r="B23" s="26">
        <v>45670.0</v>
      </c>
      <c r="C23" s="27"/>
      <c r="D23" s="27">
        <f>20+15</f>
        <v>35</v>
      </c>
      <c r="E23" s="28"/>
      <c r="F23" s="29" t="s">
        <v>30</v>
      </c>
      <c r="G23" s="76">
        <f>1510+1000</f>
        <v>2510</v>
      </c>
    </row>
    <row r="24">
      <c r="B24" s="35">
        <v>45671.0</v>
      </c>
      <c r="C24" s="43"/>
      <c r="D24" s="43">
        <f>20+55</f>
        <v>75</v>
      </c>
      <c r="E24" s="37"/>
      <c r="F24" s="61"/>
      <c r="G24" s="77"/>
    </row>
    <row r="25">
      <c r="B25" s="26">
        <v>45672.0</v>
      </c>
      <c r="C25" s="27"/>
      <c r="D25" s="27">
        <f>20+15</f>
        <v>35</v>
      </c>
      <c r="E25" s="28"/>
      <c r="F25" s="58"/>
      <c r="G25" s="77"/>
    </row>
    <row r="26">
      <c r="B26" s="35">
        <v>45673.0</v>
      </c>
      <c r="C26" s="43"/>
      <c r="D26" s="43">
        <f>20+15+35</f>
        <v>70</v>
      </c>
      <c r="E26" s="37"/>
      <c r="F26" s="61"/>
      <c r="G26" s="77"/>
    </row>
    <row r="27">
      <c r="B27" s="26">
        <v>45674.0</v>
      </c>
      <c r="C27" s="27"/>
      <c r="D27" s="45">
        <f>0-2000+200+290-235</f>
        <v>-1745</v>
      </c>
      <c r="E27" s="28"/>
      <c r="F27" s="58"/>
      <c r="G27" s="77"/>
    </row>
    <row r="28">
      <c r="B28" s="35">
        <v>45675.0</v>
      </c>
      <c r="C28" s="43"/>
      <c r="D28" s="43">
        <f>20+15+20</f>
        <v>55</v>
      </c>
      <c r="E28" s="37"/>
      <c r="F28" s="61"/>
      <c r="G28" s="77"/>
    </row>
    <row r="29">
      <c r="B29" s="26">
        <v>45676.0</v>
      </c>
      <c r="C29" s="27"/>
      <c r="D29" s="27">
        <f>50+20+20+50</f>
        <v>140</v>
      </c>
      <c r="E29" s="28"/>
      <c r="F29" s="58"/>
      <c r="G29" s="77"/>
    </row>
    <row r="30">
      <c r="B30" s="35">
        <v>45677.0</v>
      </c>
      <c r="C30" s="43"/>
      <c r="D30" s="43">
        <f>20+100+10</f>
        <v>130</v>
      </c>
      <c r="E30" s="37"/>
      <c r="F30" s="61"/>
      <c r="G30" s="77"/>
    </row>
    <row r="31">
      <c r="B31" s="26">
        <v>45678.0</v>
      </c>
      <c r="C31" s="27"/>
      <c r="D31" s="27">
        <f>50+20+20+10+60</f>
        <v>160</v>
      </c>
      <c r="E31" s="28"/>
      <c r="F31" s="58"/>
      <c r="G31" s="77"/>
    </row>
    <row r="32">
      <c r="B32" s="35">
        <v>45679.0</v>
      </c>
      <c r="C32" s="36">
        <v>3000.0</v>
      </c>
      <c r="D32" s="43">
        <f>30+15+180+35+50+210</f>
        <v>520</v>
      </c>
      <c r="E32" s="37"/>
      <c r="F32" s="61"/>
      <c r="G32" s="77"/>
    </row>
    <row r="33">
      <c r="B33" s="26">
        <v>45680.0</v>
      </c>
      <c r="C33" s="27"/>
      <c r="D33" s="27">
        <f>20+15</f>
        <v>35</v>
      </c>
      <c r="E33" s="28"/>
      <c r="F33" s="58"/>
      <c r="G33" s="77"/>
    </row>
    <row r="34">
      <c r="B34" s="49">
        <v>45681.0</v>
      </c>
      <c r="C34" s="50"/>
      <c r="D34" s="50">
        <f>(220+35+50)+(20+30+20+20+500)</f>
        <v>895</v>
      </c>
      <c r="E34" s="51"/>
      <c r="F34" s="70"/>
      <c r="G34" s="78"/>
    </row>
    <row r="35" ht="14.25" customHeight="1">
      <c r="B35" s="79"/>
    </row>
  </sheetData>
  <mergeCells count="8">
    <mergeCell ref="A1:H1"/>
    <mergeCell ref="A2:A35"/>
    <mergeCell ref="E2:E3"/>
    <mergeCell ref="H2:H35"/>
    <mergeCell ref="E4:E10"/>
    <mergeCell ref="E11:E20"/>
    <mergeCell ref="E21:E34"/>
    <mergeCell ref="B35:G35"/>
  </mergeCells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7.38"/>
    <col customWidth="1" min="3" max="3" width="21.25"/>
    <col customWidth="1" min="4" max="4" width="10.38"/>
    <col customWidth="1" min="5" max="5" width="10.63"/>
    <col customWidth="1" min="6" max="6" width="10.5"/>
    <col customWidth="1" min="7" max="7" width="11.0"/>
    <col customWidth="1" min="8" max="8" width="4.5"/>
    <col customWidth="1" min="9" max="9" width="11.38"/>
    <col customWidth="1" min="11" max="11" width="11.75"/>
    <col customWidth="1" min="12" max="12" width="4.38"/>
    <col customWidth="1" min="13" max="13" width="11.13"/>
    <col customWidth="1" min="14" max="14" width="10.25"/>
    <col customWidth="1" min="15" max="15" width="9.38"/>
    <col customWidth="1" min="16" max="16" width="10.0"/>
  </cols>
  <sheetData>
    <row r="3">
      <c r="B3" s="80" t="s">
        <v>31</v>
      </c>
      <c r="C3" s="81"/>
      <c r="D3" s="82" t="s">
        <v>32</v>
      </c>
      <c r="E3" s="83" t="s">
        <v>6</v>
      </c>
      <c r="F3" s="84" t="s">
        <v>33</v>
      </c>
      <c r="G3" s="85">
        <f>Sum(F5:F40)+sum(G5:G40)</f>
        <v>51393</v>
      </c>
      <c r="I3" s="84" t="s">
        <v>34</v>
      </c>
      <c r="J3" s="86"/>
      <c r="K3" s="85">
        <f>J5+J6+J7+J8-J9</f>
        <v>4848</v>
      </c>
      <c r="M3" s="87" t="s">
        <v>9</v>
      </c>
      <c r="N3" s="88">
        <f t="shared" ref="N3:P3" si="1">sum(N5:N18)</f>
        <v>50485</v>
      </c>
      <c r="O3" s="89">
        <f t="shared" si="1"/>
        <v>51393</v>
      </c>
      <c r="P3" s="90">
        <f t="shared" si="1"/>
        <v>-908</v>
      </c>
    </row>
    <row r="4">
      <c r="B4" s="91" t="s">
        <v>35</v>
      </c>
      <c r="C4" s="92" t="s">
        <v>36</v>
      </c>
      <c r="D4" s="93"/>
      <c r="E4" s="94"/>
      <c r="F4" s="91" t="s">
        <v>37</v>
      </c>
      <c r="G4" s="95" t="s">
        <v>38</v>
      </c>
      <c r="I4" s="91" t="s">
        <v>39</v>
      </c>
      <c r="J4" s="96" t="s">
        <v>40</v>
      </c>
      <c r="K4" s="92" t="s">
        <v>41</v>
      </c>
      <c r="M4" s="91" t="s">
        <v>42</v>
      </c>
      <c r="N4" s="96" t="s">
        <v>43</v>
      </c>
      <c r="O4" s="96" t="s">
        <v>4</v>
      </c>
      <c r="P4" s="92" t="s">
        <v>5</v>
      </c>
    </row>
    <row r="5">
      <c r="B5" s="97"/>
      <c r="C5" s="98" t="s">
        <v>44</v>
      </c>
      <c r="D5" s="99" t="s">
        <v>45</v>
      </c>
      <c r="E5" s="100">
        <v>45683.0</v>
      </c>
      <c r="F5" s="97">
        <f>10+10</f>
        <v>20</v>
      </c>
      <c r="G5" s="101"/>
      <c r="H5" s="102"/>
      <c r="I5" s="31" t="s">
        <v>46</v>
      </c>
      <c r="J5" s="102">
        <f t="array" ref="J5">K5 - sum(IF((C5:C40="S_A/C--&gt;bKash")+(C5:C40="S_A/C--&gt;Cash")+(C5:C40="S_A/C--&gt;SonaliBU"), B5:B40, 0))
</f>
        <v>621</v>
      </c>
      <c r="K5" s="103">
        <f>680+49500-14-15-15-15</f>
        <v>50121</v>
      </c>
      <c r="M5" s="104" t="s">
        <v>47</v>
      </c>
      <c r="N5" s="105">
        <v>685.0</v>
      </c>
      <c r="O5" s="106">
        <v>685.0</v>
      </c>
      <c r="P5" s="107">
        <f t="shared" ref="P5:P18" si="2">N5-O5</f>
        <v>0</v>
      </c>
    </row>
    <row r="6">
      <c r="B6" s="108"/>
      <c r="C6" s="109" t="s">
        <v>44</v>
      </c>
      <c r="D6" s="99" t="s">
        <v>48</v>
      </c>
      <c r="E6" s="100">
        <v>45684.0</v>
      </c>
      <c r="F6" s="108">
        <f>15+20+50</f>
        <v>85</v>
      </c>
      <c r="G6" s="109"/>
      <c r="H6" s="110"/>
      <c r="I6" s="31" t="s">
        <v>12</v>
      </c>
      <c r="J6" s="102">
        <f t="array" ref="J6">K6 - sum(G5:G40) + sum(IF((C5:C40="S_A/C--&gt;bKash")+(C5:C40="givenLend--&gt;bKash")+(C5:C40="Cash--&gt;bKash")+(C5:C40="takenLend--&gt;bKash"), B5:B40, 0)) - sum(IF((C5:C40="bKash--&gt;givenLend")+(C5:C40="bKash--&gt;Cash")+(C5:C40="bKash--&gt;takenLend"), B5:B40, 0))
</f>
        <v>162</v>
      </c>
      <c r="K6" s="103">
        <f>3723-9+20-19+35+10</f>
        <v>3760</v>
      </c>
      <c r="M6" s="31" t="s">
        <v>49</v>
      </c>
      <c r="N6" s="111">
        <v>30000.0</v>
      </c>
      <c r="O6" s="33">
        <f>5900+4800+1500+1300+400+1200+750+7000</f>
        <v>22850</v>
      </c>
      <c r="P6" s="34">
        <f t="shared" si="2"/>
        <v>7150</v>
      </c>
    </row>
    <row r="7">
      <c r="B7" s="108"/>
      <c r="C7" s="109" t="s">
        <v>44</v>
      </c>
      <c r="D7" s="99" t="s">
        <v>50</v>
      </c>
      <c r="E7" s="100">
        <v>45685.0</v>
      </c>
      <c r="F7" s="112">
        <f>20+30+15</f>
        <v>65</v>
      </c>
      <c r="G7" s="113"/>
      <c r="H7" s="102"/>
      <c r="I7" s="114" t="s">
        <v>51</v>
      </c>
      <c r="J7" s="115">
        <f t="array" ref="J7">K7 - sum(F5:F40) + sum(IF((C5:C40="S_A/C--&gt;Cash")+(C5:C40="givenLend--&gt;Cash")+(C5:C40="bKash--&gt;Cash")+(C5:C40="takenLend--&gt;Cash"), B5:B40, 0)) - sum(IF((C5:C40="Cash--&gt;takenLend")+(C5:C40="Cash--&gt;givenLend")+(C5:C40="Cash--&gt;bKash"), B5:B40, 0))
</f>
        <v>1650</v>
      </c>
      <c r="K7" s="116">
        <v>1860.0</v>
      </c>
      <c r="M7" s="31" t="s">
        <v>52</v>
      </c>
      <c r="N7" s="111">
        <v>7000.0</v>
      </c>
      <c r="O7" s="33">
        <v>7000.0</v>
      </c>
      <c r="P7" s="34">
        <f t="shared" si="2"/>
        <v>0</v>
      </c>
    </row>
    <row r="8">
      <c r="B8" s="108">
        <v>500.0</v>
      </c>
      <c r="C8" s="109" t="s">
        <v>53</v>
      </c>
      <c r="D8" s="99" t="s">
        <v>54</v>
      </c>
      <c r="E8" s="100">
        <v>45686.0</v>
      </c>
      <c r="F8" s="112">
        <f>20</f>
        <v>20</v>
      </c>
      <c r="G8" s="113"/>
      <c r="H8" s="102"/>
      <c r="I8" s="117" t="s">
        <v>55</v>
      </c>
      <c r="J8" s="118">
        <f t="array" ref="J8">K8 + sum(IF((C5:C40="bKash--&gt;givenLend")+(C5:C40="Cash--&gt;givenLend"), B5:B40, 0)) - sum(IF((C5:C40="givenLend--&gt;bKash")+(C5:C40="givenLend--&gt;Cash"), B5:B40, 0))</f>
        <v>2415</v>
      </c>
      <c r="K8" s="119">
        <v>1000.0</v>
      </c>
      <c r="M8" s="31" t="s">
        <v>56</v>
      </c>
      <c r="N8" s="111">
        <v>4500.0</v>
      </c>
      <c r="O8" s="42">
        <f>250+250+225+140+1890+350+1490+5250</f>
        <v>9845</v>
      </c>
      <c r="P8" s="34">
        <f t="shared" si="2"/>
        <v>-5345</v>
      </c>
    </row>
    <row r="9">
      <c r="B9" s="112"/>
      <c r="C9" s="109" t="s">
        <v>44</v>
      </c>
      <c r="D9" s="99" t="s">
        <v>57</v>
      </c>
      <c r="E9" s="100">
        <v>45687.0</v>
      </c>
      <c r="F9" s="112">
        <f>20+(30+125)+250</f>
        <v>425</v>
      </c>
      <c r="G9" s="109">
        <v>1500.0</v>
      </c>
      <c r="H9" s="110"/>
      <c r="I9" s="120" t="s">
        <v>58</v>
      </c>
      <c r="J9" s="121">
        <f t="array" ref="J9">K9 + sum(IF((C5:C40="takenLend--&gt;Cash")+(C5:C40="takenLend--&gt;bKash"), B5:B40, 0)) - sum(IF((C5:C40="Cash--&gt;takenLend")+(C5:C40="bKash--&gt;takenLend"), B5:B40, 0))</f>
        <v>0</v>
      </c>
      <c r="K9" s="122">
        <v>0.0</v>
      </c>
      <c r="M9" s="31" t="s">
        <v>59</v>
      </c>
      <c r="N9" s="111">
        <v>1500.0</v>
      </c>
      <c r="O9" s="42">
        <f>150+150+250+30+298+30</f>
        <v>908</v>
      </c>
      <c r="P9" s="34">
        <f t="shared" si="2"/>
        <v>592</v>
      </c>
    </row>
    <row r="10">
      <c r="B10" s="123"/>
      <c r="C10" s="124" t="s">
        <v>44</v>
      </c>
      <c r="D10" s="125" t="s">
        <v>60</v>
      </c>
      <c r="E10" s="126">
        <v>45688.0</v>
      </c>
      <c r="F10" s="127">
        <f>30+40+35</f>
        <v>105</v>
      </c>
      <c r="G10" s="128"/>
      <c r="H10" s="47"/>
      <c r="I10" s="31" t="s">
        <v>61</v>
      </c>
      <c r="J10" s="102">
        <f t="array" ref="J10">K10 + sum(IF((C5:C40="S_A/C--&gt;SonaliBU"), B5:B40, 0))</f>
        <v>300</v>
      </c>
      <c r="K10" s="103">
        <v>-200.0</v>
      </c>
      <c r="M10" s="129" t="s">
        <v>62</v>
      </c>
      <c r="N10" s="105">
        <v>2500.0</v>
      </c>
      <c r="O10" s="130">
        <v>2500.0</v>
      </c>
      <c r="P10" s="131">
        <f t="shared" si="2"/>
        <v>0</v>
      </c>
    </row>
    <row r="11">
      <c r="B11" s="97">
        <v>2000.0</v>
      </c>
      <c r="C11" s="98" t="s">
        <v>63</v>
      </c>
      <c r="D11" s="125" t="s">
        <v>64</v>
      </c>
      <c r="E11" s="126">
        <v>45689.0</v>
      </c>
      <c r="F11" s="112">
        <f>(15+20)+250+(410+20+10+20)+65+685+110</f>
        <v>1605</v>
      </c>
      <c r="G11" s="109"/>
      <c r="H11" s="132">
        <v>2.0</v>
      </c>
      <c r="I11" s="65" t="s">
        <v>65</v>
      </c>
      <c r="J11" s="133"/>
      <c r="K11" s="134"/>
      <c r="M11" s="31" t="s">
        <v>66</v>
      </c>
      <c r="N11" s="10">
        <v>0.0</v>
      </c>
      <c r="O11" s="47"/>
      <c r="P11" s="48">
        <f t="shared" si="2"/>
        <v>0</v>
      </c>
    </row>
    <row r="12">
      <c r="B12" s="108">
        <v>585.0</v>
      </c>
      <c r="C12" s="109" t="s">
        <v>67</v>
      </c>
      <c r="D12" s="99" t="s">
        <v>45</v>
      </c>
      <c r="E12" s="135">
        <v>45690.0</v>
      </c>
      <c r="F12" s="136">
        <f>(15+20)</f>
        <v>35</v>
      </c>
      <c r="G12" s="113"/>
      <c r="H12" s="102"/>
      <c r="M12" s="31" t="s">
        <v>68</v>
      </c>
      <c r="N12" s="10">
        <v>1000.0</v>
      </c>
      <c r="O12" s="42">
        <f>65+260+100+150+70+35+170+105+85</f>
        <v>1040</v>
      </c>
      <c r="P12" s="48">
        <f t="shared" si="2"/>
        <v>-40</v>
      </c>
    </row>
    <row r="13">
      <c r="B13" s="108">
        <v>12000.0</v>
      </c>
      <c r="C13" s="109" t="s">
        <v>69</v>
      </c>
      <c r="D13" s="99" t="s">
        <v>48</v>
      </c>
      <c r="E13" s="100">
        <v>45691.0</v>
      </c>
      <c r="F13" s="112">
        <f>20</f>
        <v>20</v>
      </c>
      <c r="G13" s="109">
        <f>50+100</f>
        <v>150</v>
      </c>
      <c r="H13" s="110"/>
      <c r="M13" s="31" t="s">
        <v>70</v>
      </c>
      <c r="N13" s="10">
        <v>1000.0</v>
      </c>
      <c r="O13" s="47">
        <f>10+70+30+35+20+90+50+20+20+40+80+20+70+30+20+40+30</f>
        <v>675</v>
      </c>
      <c r="P13" s="48">
        <f t="shared" si="2"/>
        <v>325</v>
      </c>
    </row>
    <row r="14">
      <c r="B14" s="108">
        <v>2500.0</v>
      </c>
      <c r="C14" s="109" t="s">
        <v>71</v>
      </c>
      <c r="D14" s="99" t="s">
        <v>50</v>
      </c>
      <c r="E14" s="100">
        <v>45692.0</v>
      </c>
      <c r="F14" s="112">
        <f>30+225</f>
        <v>255</v>
      </c>
      <c r="G14" s="109">
        <v>2500.0</v>
      </c>
      <c r="H14" s="110"/>
      <c r="I14" s="137" t="s">
        <v>72</v>
      </c>
      <c r="J14" s="86"/>
      <c r="K14" s="138">
        <f>sum(K16:K21)</f>
        <v>2415</v>
      </c>
      <c r="M14" s="31" t="s">
        <v>73</v>
      </c>
      <c r="N14" s="10">
        <v>500.0</v>
      </c>
      <c r="O14" s="47">
        <f>10+20+20+20+40+10+700+375+700</f>
        <v>1895</v>
      </c>
      <c r="P14" s="48">
        <f t="shared" si="2"/>
        <v>-1395</v>
      </c>
    </row>
    <row r="15">
      <c r="B15" s="108">
        <v>1000.0</v>
      </c>
      <c r="C15" s="109" t="s">
        <v>71</v>
      </c>
      <c r="D15" s="99" t="s">
        <v>54</v>
      </c>
      <c r="E15" s="100">
        <v>45693.0</v>
      </c>
      <c r="F15" s="108">
        <f>7000+15+90</f>
        <v>7105</v>
      </c>
      <c r="G15" s="113"/>
      <c r="H15" s="102"/>
      <c r="I15" s="139" t="s">
        <v>6</v>
      </c>
      <c r="J15" s="140" t="s">
        <v>74</v>
      </c>
      <c r="K15" s="141" t="s">
        <v>35</v>
      </c>
      <c r="M15" s="31" t="s">
        <v>75</v>
      </c>
      <c r="N15" s="10">
        <v>500.0</v>
      </c>
      <c r="O15" s="47">
        <f>15+15+155+30+35+35+30+15+15+45+45+30+15+15+15+50+45+30+15+30+35+45+60+15+15+15+30</f>
        <v>895</v>
      </c>
      <c r="P15" s="48">
        <f t="shared" si="2"/>
        <v>-395</v>
      </c>
    </row>
    <row r="16">
      <c r="B16" s="108">
        <v>500.0</v>
      </c>
      <c r="C16" s="109" t="s">
        <v>76</v>
      </c>
      <c r="D16" s="99" t="s">
        <v>57</v>
      </c>
      <c r="E16" s="100">
        <v>45694.0</v>
      </c>
      <c r="F16" s="112">
        <f>15+(75+120+65)+(30+20)+190</f>
        <v>515</v>
      </c>
      <c r="G16" s="113"/>
      <c r="H16" s="102"/>
      <c r="I16" s="108" t="s">
        <v>77</v>
      </c>
      <c r="J16" s="132" t="s">
        <v>30</v>
      </c>
      <c r="K16" s="103">
        <f>1000-585</f>
        <v>415</v>
      </c>
      <c r="M16" s="62" t="s">
        <v>78</v>
      </c>
      <c r="N16" s="10">
        <v>0.0</v>
      </c>
      <c r="P16" s="48">
        <f t="shared" si="2"/>
        <v>0</v>
      </c>
    </row>
    <row r="17">
      <c r="B17" s="142">
        <v>10000.0</v>
      </c>
      <c r="C17" s="109" t="s">
        <v>69</v>
      </c>
      <c r="D17" s="125" t="s">
        <v>60</v>
      </c>
      <c r="E17" s="126">
        <v>45695.0</v>
      </c>
      <c r="F17" s="112">
        <f>(15*3)+20+(150+90)+(5900+4800+1500+1300+400)</f>
        <v>14205</v>
      </c>
      <c r="G17" s="113"/>
      <c r="H17" s="132">
        <v>2.0</v>
      </c>
      <c r="I17" s="143">
        <v>45689.0</v>
      </c>
      <c r="J17" s="132" t="s">
        <v>79</v>
      </c>
      <c r="K17" s="103">
        <v>1000.0</v>
      </c>
      <c r="M17" s="144" t="s">
        <v>80</v>
      </c>
      <c r="N17" s="145">
        <v>300.0</v>
      </c>
      <c r="O17" s="146">
        <f>1500+110+300+260+10</f>
        <v>2180</v>
      </c>
      <c r="P17" s="147">
        <f t="shared" si="2"/>
        <v>-1880</v>
      </c>
    </row>
    <row r="18">
      <c r="B18" s="108">
        <v>1000.0</v>
      </c>
      <c r="C18" s="109" t="s">
        <v>81</v>
      </c>
      <c r="D18" s="125" t="s">
        <v>64</v>
      </c>
      <c r="E18" s="126">
        <v>45696.0</v>
      </c>
      <c r="F18" s="112">
        <f>(15*3)+20+30+100</f>
        <v>195</v>
      </c>
      <c r="G18" s="113"/>
      <c r="H18" s="132">
        <v>2.0</v>
      </c>
      <c r="I18" s="148">
        <v>45712.0</v>
      </c>
      <c r="J18" s="132" t="s">
        <v>82</v>
      </c>
      <c r="K18" s="103">
        <v>1000.0</v>
      </c>
      <c r="M18" s="65" t="s">
        <v>83</v>
      </c>
      <c r="N18" s="67">
        <v>1000.0</v>
      </c>
      <c r="O18" s="67">
        <f>460+190+240+30+540-540</f>
        <v>920</v>
      </c>
      <c r="P18" s="68">
        <f t="shared" si="2"/>
        <v>80</v>
      </c>
    </row>
    <row r="19">
      <c r="B19" s="112"/>
      <c r="C19" s="109" t="s">
        <v>44</v>
      </c>
      <c r="D19" s="99" t="s">
        <v>45</v>
      </c>
      <c r="E19" s="100">
        <v>45697.0</v>
      </c>
      <c r="F19" s="112">
        <f>30+10</f>
        <v>40</v>
      </c>
      <c r="G19" s="113"/>
      <c r="H19" s="102"/>
      <c r="I19" s="112"/>
      <c r="J19" s="102"/>
      <c r="K19" s="48"/>
    </row>
    <row r="20">
      <c r="B20" s="127"/>
      <c r="C20" s="124" t="s">
        <v>44</v>
      </c>
      <c r="D20" s="99" t="s">
        <v>48</v>
      </c>
      <c r="E20" s="100">
        <v>45698.0</v>
      </c>
      <c r="F20" s="127">
        <f>15+40</f>
        <v>55</v>
      </c>
      <c r="G20" s="149"/>
      <c r="H20" s="102"/>
      <c r="I20" s="112"/>
      <c r="J20" s="102"/>
      <c r="K20" s="48"/>
    </row>
    <row r="21">
      <c r="B21" s="150">
        <v>10000.0</v>
      </c>
      <c r="C21" s="98" t="s">
        <v>69</v>
      </c>
      <c r="D21" s="99" t="s">
        <v>50</v>
      </c>
      <c r="E21" s="100">
        <v>45699.0</v>
      </c>
      <c r="F21" s="151">
        <f>80+20+50+15+70</f>
        <v>235</v>
      </c>
      <c r="G21" s="101"/>
      <c r="H21" s="102"/>
      <c r="I21" s="127"/>
      <c r="J21" s="133"/>
      <c r="K21" s="68"/>
    </row>
    <row r="22">
      <c r="B22" s="112"/>
      <c r="C22" s="109" t="s">
        <v>44</v>
      </c>
      <c r="D22" s="99" t="s">
        <v>54</v>
      </c>
      <c r="E22" s="100">
        <v>45700.0</v>
      </c>
      <c r="F22" s="112">
        <f>300+15</f>
        <v>315</v>
      </c>
      <c r="G22" s="113">
        <f>700</f>
        <v>700</v>
      </c>
      <c r="H22" s="102"/>
    </row>
    <row r="23">
      <c r="B23" s="112"/>
      <c r="C23" s="109" t="s">
        <v>44</v>
      </c>
      <c r="D23" s="99" t="s">
        <v>57</v>
      </c>
      <c r="E23" s="100">
        <v>45701.0</v>
      </c>
      <c r="F23" s="112">
        <f>750+(15+80+80+200)+(30+20)+1200</f>
        <v>2375</v>
      </c>
      <c r="G23" s="113"/>
      <c r="H23" s="102"/>
      <c r="I23" s="137" t="s">
        <v>84</v>
      </c>
      <c r="J23" s="86"/>
      <c r="K23" s="138">
        <f>sum(K25:K30)</f>
        <v>0</v>
      </c>
    </row>
    <row r="24">
      <c r="B24" s="108">
        <v>1000.0</v>
      </c>
      <c r="C24" s="109" t="s">
        <v>71</v>
      </c>
      <c r="D24" s="125" t="s">
        <v>60</v>
      </c>
      <c r="E24" s="126">
        <v>45702.0</v>
      </c>
      <c r="F24" s="108">
        <f>7000</f>
        <v>7000</v>
      </c>
      <c r="G24" s="109">
        <v>150.0</v>
      </c>
      <c r="H24" s="132">
        <v>0.0</v>
      </c>
      <c r="I24" s="139" t="s">
        <v>6</v>
      </c>
      <c r="J24" s="140" t="s">
        <v>85</v>
      </c>
      <c r="K24" s="141" t="s">
        <v>35</v>
      </c>
    </row>
    <row r="25">
      <c r="B25" s="108">
        <v>1000.0</v>
      </c>
      <c r="C25" s="109" t="s">
        <v>76</v>
      </c>
      <c r="D25" s="125" t="s">
        <v>64</v>
      </c>
      <c r="E25" s="126">
        <v>45703.0</v>
      </c>
      <c r="F25" s="112">
        <f>(50+650)+(20+20+20+10+10)+(15*3)+(10+5+20)</f>
        <v>860</v>
      </c>
      <c r="G25" s="109">
        <v>250.0</v>
      </c>
      <c r="H25" s="132">
        <v>0.0</v>
      </c>
      <c r="I25" s="152"/>
      <c r="J25" s="47"/>
      <c r="K25" s="48"/>
    </row>
    <row r="26">
      <c r="B26" s="112"/>
      <c r="C26" s="109" t="s">
        <v>44</v>
      </c>
      <c r="D26" s="99" t="s">
        <v>45</v>
      </c>
      <c r="E26" s="100">
        <v>45704.0</v>
      </c>
      <c r="F26" s="112">
        <f>15+15+20</f>
        <v>50</v>
      </c>
      <c r="G26" s="113"/>
      <c r="H26" s="102"/>
      <c r="I26" s="152"/>
      <c r="J26" s="47"/>
      <c r="K26" s="48"/>
    </row>
    <row r="27">
      <c r="B27" s="112"/>
      <c r="C27" s="109" t="s">
        <v>44</v>
      </c>
      <c r="D27" s="99" t="s">
        <v>48</v>
      </c>
      <c r="E27" s="100">
        <v>45705.0</v>
      </c>
      <c r="F27" s="108">
        <f>15</f>
        <v>15</v>
      </c>
      <c r="G27" s="109">
        <v>30.0</v>
      </c>
      <c r="H27" s="102"/>
      <c r="I27" s="152"/>
      <c r="J27" s="47"/>
      <c r="K27" s="48"/>
    </row>
    <row r="28">
      <c r="B28" s="112"/>
      <c r="C28" s="109" t="s">
        <v>44</v>
      </c>
      <c r="D28" s="99" t="s">
        <v>50</v>
      </c>
      <c r="E28" s="100">
        <v>45706.0</v>
      </c>
      <c r="F28" s="112">
        <f>30+70</f>
        <v>100</v>
      </c>
      <c r="G28" s="113"/>
      <c r="H28" s="102"/>
      <c r="I28" s="152"/>
      <c r="J28" s="47"/>
      <c r="K28" s="48"/>
    </row>
    <row r="29">
      <c r="B29" s="112"/>
      <c r="C29" s="109" t="s">
        <v>44</v>
      </c>
      <c r="D29" s="99" t="s">
        <v>54</v>
      </c>
      <c r="E29" s="100">
        <v>45707.0</v>
      </c>
      <c r="F29" s="108">
        <v>0.0</v>
      </c>
      <c r="G29" s="113"/>
      <c r="H29" s="102"/>
      <c r="I29" s="152"/>
      <c r="J29" s="47"/>
      <c r="K29" s="48"/>
    </row>
    <row r="30">
      <c r="B30" s="123">
        <v>2000.0</v>
      </c>
      <c r="C30" s="124" t="s">
        <v>69</v>
      </c>
      <c r="D30" s="99" t="s">
        <v>57</v>
      </c>
      <c r="E30" s="100">
        <v>45708.0</v>
      </c>
      <c r="F30" s="127">
        <f>140+(20+15)</f>
        <v>175</v>
      </c>
      <c r="G30" s="149"/>
      <c r="H30" s="133"/>
      <c r="I30" s="153"/>
      <c r="J30" s="154"/>
      <c r="K30" s="68"/>
    </row>
    <row r="31">
      <c r="B31" s="108">
        <v>1000.0</v>
      </c>
      <c r="C31" s="109" t="s">
        <v>86</v>
      </c>
      <c r="D31" s="125" t="s">
        <v>60</v>
      </c>
      <c r="E31" s="126">
        <v>45709.0</v>
      </c>
      <c r="F31" s="108">
        <f>(30+15)+(30)+(180+360)-(540)</f>
        <v>75</v>
      </c>
      <c r="G31" s="113"/>
      <c r="H31" s="132">
        <v>0.0</v>
      </c>
      <c r="I31" s="42" t="s">
        <v>87</v>
      </c>
      <c r="J31" s="47"/>
      <c r="K31" s="47"/>
    </row>
    <row r="32">
      <c r="B32" s="108">
        <v>1500.0</v>
      </c>
      <c r="C32" s="109" t="s">
        <v>71</v>
      </c>
      <c r="D32" s="125" t="s">
        <v>64</v>
      </c>
      <c r="E32" s="126">
        <v>45710.0</v>
      </c>
      <c r="F32" s="112">
        <f>20+(15*4)+(70+30+70)+(260)</f>
        <v>510</v>
      </c>
      <c r="G32" s="109">
        <f>298+30</f>
        <v>328</v>
      </c>
      <c r="H32" s="132">
        <v>0.0</v>
      </c>
    </row>
    <row r="33">
      <c r="B33" s="108">
        <v>5000.0</v>
      </c>
      <c r="C33" s="109" t="s">
        <v>69</v>
      </c>
      <c r="D33" s="99" t="s">
        <v>45</v>
      </c>
      <c r="E33" s="100">
        <v>45711.0</v>
      </c>
      <c r="F33" s="112">
        <f>15+40+(1890+350)+105</f>
        <v>2400</v>
      </c>
      <c r="G33" s="113">
        <f>1490</f>
        <v>1490</v>
      </c>
      <c r="H33" s="102"/>
    </row>
    <row r="34">
      <c r="B34" s="108">
        <v>4000.0</v>
      </c>
      <c r="C34" s="109" t="s">
        <v>69</v>
      </c>
      <c r="D34" s="99" t="s">
        <v>48</v>
      </c>
      <c r="E34" s="100">
        <v>45712.0</v>
      </c>
      <c r="F34" s="112">
        <f>5250+15+30+85+10</f>
        <v>5390</v>
      </c>
      <c r="G34" s="113"/>
      <c r="H34" s="102"/>
    </row>
    <row r="35">
      <c r="B35" s="112"/>
      <c r="C35" s="109" t="s">
        <v>44</v>
      </c>
      <c r="D35" s="99" t="s">
        <v>50</v>
      </c>
      <c r="E35" s="100">
        <v>45713.0</v>
      </c>
      <c r="F35" s="112">
        <f>15</f>
        <v>15</v>
      </c>
      <c r="G35" s="113"/>
      <c r="H35" s="102"/>
    </row>
    <row r="36">
      <c r="B36" s="112"/>
      <c r="C36" s="109" t="s">
        <v>44</v>
      </c>
      <c r="D36" s="99" t="s">
        <v>54</v>
      </c>
      <c r="E36" s="100">
        <v>45714.0</v>
      </c>
      <c r="F36" s="112">
        <f>30</f>
        <v>30</v>
      </c>
      <c r="G36" s="113"/>
      <c r="H36" s="102"/>
    </row>
    <row r="37">
      <c r="B37" s="112"/>
      <c r="C37" s="109" t="s">
        <v>44</v>
      </c>
      <c r="D37" s="155"/>
      <c r="E37" s="155"/>
      <c r="F37" s="112"/>
      <c r="G37" s="113"/>
      <c r="H37" s="102"/>
    </row>
    <row r="38">
      <c r="B38" s="112"/>
      <c r="C38" s="109" t="s">
        <v>44</v>
      </c>
      <c r="D38" s="155"/>
      <c r="E38" s="155"/>
      <c r="F38" s="108"/>
      <c r="G38" s="113"/>
      <c r="H38" s="102"/>
    </row>
    <row r="39">
      <c r="B39" s="112"/>
      <c r="C39" s="109" t="s">
        <v>44</v>
      </c>
      <c r="D39" s="155"/>
      <c r="E39" s="155"/>
      <c r="F39" s="112"/>
      <c r="G39" s="113"/>
      <c r="H39" s="102"/>
    </row>
    <row r="40">
      <c r="B40" s="127"/>
      <c r="C40" s="124" t="s">
        <v>44</v>
      </c>
      <c r="D40" s="156"/>
      <c r="E40" s="156"/>
      <c r="F40" s="127"/>
      <c r="G40" s="149"/>
      <c r="H40" s="102"/>
    </row>
  </sheetData>
  <mergeCells count="6">
    <mergeCell ref="B3:C3"/>
    <mergeCell ref="D3:D4"/>
    <mergeCell ref="E3:E4"/>
    <mergeCell ref="I3:J3"/>
    <mergeCell ref="I14:J14"/>
    <mergeCell ref="I23:J23"/>
  </mergeCells>
  <dataValidations>
    <dataValidation type="list" allowBlank="1" showErrorMessage="1" sqref="C5:C40">
      <formula1>"None,S_A/C--&gt;bKash,S_A/C--&gt;Cash,bKash--&gt;givenLend,Cash--&gt;givenLend,givenLend--&gt;bKash,givenLend--&gt;Cash,takenLend--&gt;Cash,takenLend--&gt;bKash,bKash--&gt;takenLend,Cash--&gt;takenLend,bKash--&gt;Cash,Cash--&gt;bKash,S_A/C--&gt;SonaliBU"</formula1>
    </dataValidation>
  </dataValidations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8.13"/>
    <col customWidth="1" min="3" max="3" width="6.88"/>
    <col customWidth="1" min="4" max="4" width="23.38"/>
    <col customWidth="1" min="5" max="5" width="0.38"/>
    <col customWidth="1" min="6" max="6" width="9.88"/>
    <col customWidth="1" min="7" max="7" width="10.0"/>
    <col customWidth="1" min="8" max="8" width="9.38"/>
    <col customWidth="1" min="9" max="9" width="10.5"/>
    <col customWidth="1" min="10" max="10" width="4.5"/>
    <col customWidth="1" min="11" max="11" width="11.38"/>
    <col customWidth="1" min="13" max="13" width="8.38"/>
    <col customWidth="1" min="14" max="14" width="2.0"/>
    <col customWidth="1" min="15" max="15" width="11.13"/>
    <col customWidth="1" min="16" max="16" width="9.13"/>
    <col customWidth="1" min="17" max="17" width="9.38"/>
    <col customWidth="1" min="18" max="18" width="10.0"/>
  </cols>
  <sheetData>
    <row r="3">
      <c r="B3" s="157" t="s">
        <v>88</v>
      </c>
      <c r="C3" s="158"/>
      <c r="D3" s="159"/>
      <c r="E3" s="160"/>
      <c r="F3" s="161" t="s">
        <v>32</v>
      </c>
      <c r="G3" s="162" t="s">
        <v>6</v>
      </c>
      <c r="H3" s="84" t="s">
        <v>33</v>
      </c>
      <c r="I3" s="85">
        <f>Sum(H5:H40)+sum(I5:I40)</f>
        <v>49467</v>
      </c>
      <c r="J3" s="43"/>
      <c r="K3" s="84" t="s">
        <v>34</v>
      </c>
      <c r="L3" s="86"/>
      <c r="M3" s="85">
        <f>L5+L6+L7</f>
        <v>4388</v>
      </c>
      <c r="O3" s="87" t="s">
        <v>9</v>
      </c>
      <c r="P3" s="88">
        <f t="shared" ref="P3:R3" si="1">sum(P5:P18)</f>
        <v>30000</v>
      </c>
      <c r="Q3" s="89">
        <f t="shared" si="1"/>
        <v>49235</v>
      </c>
      <c r="R3" s="90">
        <f t="shared" si="1"/>
        <v>-19235</v>
      </c>
    </row>
    <row r="4">
      <c r="B4" s="163" t="s">
        <v>6</v>
      </c>
      <c r="C4" s="164" t="s">
        <v>35</v>
      </c>
      <c r="D4" s="164" t="s">
        <v>36</v>
      </c>
      <c r="E4" s="165"/>
      <c r="F4" s="93"/>
      <c r="G4" s="94"/>
      <c r="H4" s="91" t="s">
        <v>37</v>
      </c>
      <c r="I4" s="95" t="s">
        <v>38</v>
      </c>
      <c r="J4" s="43"/>
      <c r="K4" s="166" t="s">
        <v>39</v>
      </c>
      <c r="L4" s="167" t="s">
        <v>40</v>
      </c>
      <c r="M4" s="168" t="s">
        <v>41</v>
      </c>
      <c r="O4" s="91" t="s">
        <v>42</v>
      </c>
      <c r="P4" s="96" t="s">
        <v>43</v>
      </c>
      <c r="Q4" s="96" t="s">
        <v>4</v>
      </c>
      <c r="R4" s="92" t="s">
        <v>5</v>
      </c>
    </row>
    <row r="5">
      <c r="B5" s="169">
        <v>45714.0</v>
      </c>
      <c r="C5" s="97">
        <v>12000.0</v>
      </c>
      <c r="D5" s="170" t="s">
        <v>71</v>
      </c>
      <c r="E5" s="171"/>
      <c r="F5" s="99"/>
      <c r="G5" s="100"/>
      <c r="H5" s="97"/>
      <c r="I5" s="101"/>
      <c r="J5" s="43"/>
      <c r="K5" s="22" t="s">
        <v>46</v>
      </c>
      <c r="L5" s="172">
        <f t="array" ref="L5">M5 - sum(IF((D5:D40="S_A/C--&gt;bKash")+(D5:D40="S_A/C--&gt;Cash")+(D5:D40="S_A/C--&gt;SonaliBU"), C5:C40, 0))
</f>
        <v>46</v>
      </c>
      <c r="M5" s="173">
        <f>621+49500-(15*5)</f>
        <v>50046</v>
      </c>
      <c r="O5" s="104" t="s">
        <v>47</v>
      </c>
      <c r="P5" s="105">
        <v>0.0</v>
      </c>
      <c r="Q5" s="106"/>
      <c r="R5" s="107">
        <f t="shared" ref="R5:R18" si="2">P5-Q5</f>
        <v>0</v>
      </c>
    </row>
    <row r="6">
      <c r="B6" s="169">
        <v>45716.0</v>
      </c>
      <c r="C6" s="108">
        <v>2500.0</v>
      </c>
      <c r="D6" s="174" t="s">
        <v>71</v>
      </c>
      <c r="E6" s="171"/>
      <c r="F6" s="99"/>
      <c r="G6" s="100"/>
      <c r="H6" s="108"/>
      <c r="I6" s="109"/>
      <c r="J6" s="36"/>
      <c r="K6" s="31" t="s">
        <v>12</v>
      </c>
      <c r="L6" s="102">
        <f t="array" ref="L6">M6 - sum(I5:I40) + sum(IF((D5:D40="S_A/C--&gt;bKash")+(D5:D40="SonaliBU--&gt;bKash")+(D5:D40="givenLend--&gt;bKash")+(D5:D40="Cash--&gt;bKash")+(D5:D40="takenLend--&gt;bKash"), C5:C40, 0)) - sum(IF((D5:D40="bKash--&gt;givenLend")+(D5:D40="bKash--&gt;Cash")+(D5:D40="bKash--&gt;takenLend"), C5:C40, 0))
</f>
        <v>4952</v>
      </c>
      <c r="M6" s="103">
        <f>162-18</f>
        <v>144</v>
      </c>
      <c r="O6" s="31" t="s">
        <v>49</v>
      </c>
      <c r="P6" s="111">
        <v>10000.0</v>
      </c>
      <c r="Q6" s="33">
        <f>10200+10100</f>
        <v>20300</v>
      </c>
      <c r="R6" s="34">
        <f t="shared" si="2"/>
        <v>-10300</v>
      </c>
    </row>
    <row r="7">
      <c r="B7" s="169">
        <v>45716.0</v>
      </c>
      <c r="C7" s="108">
        <v>2500.0</v>
      </c>
      <c r="D7" s="174" t="s">
        <v>71</v>
      </c>
      <c r="E7" s="171"/>
      <c r="F7" s="99"/>
      <c r="G7" s="100"/>
      <c r="H7" s="108"/>
      <c r="I7" s="113"/>
      <c r="J7" s="43"/>
      <c r="K7" s="114" t="s">
        <v>51</v>
      </c>
      <c r="L7" s="115">
        <f t="array" ref="L7">M7 - sum(H5:H40) + sum(IF((D5:D40="S_A/C--&gt;Cash")+(D5:D40="givenLend--&gt;Cash")+(D5:D40="bKash--&gt;Cash")+(D5:D40="takenLend--&gt;Cash"), C5:C40, 0)) - sum(IF((D5:D40="Cash--&gt;takenLend")+(D5:D40="Cash--&gt;givenLend")+(D5:D40="Cash--&gt;bKash"), C5:C40, 0))
</f>
        <v>-610</v>
      </c>
      <c r="M7" s="116">
        <f>1630+520</f>
        <v>2150</v>
      </c>
      <c r="O7" s="31" t="s">
        <v>52</v>
      </c>
      <c r="P7" s="111">
        <v>7000.0</v>
      </c>
      <c r="Q7" s="33">
        <v>7000.0</v>
      </c>
      <c r="R7" s="34">
        <f t="shared" si="2"/>
        <v>0</v>
      </c>
    </row>
    <row r="8">
      <c r="B8" s="169">
        <v>45717.0</v>
      </c>
      <c r="C8" s="142">
        <v>20000.0</v>
      </c>
      <c r="D8" s="174" t="s">
        <v>53</v>
      </c>
      <c r="E8" s="171"/>
      <c r="F8" s="99"/>
      <c r="G8" s="100"/>
      <c r="H8" s="112"/>
      <c r="I8" s="113"/>
      <c r="J8" s="43"/>
      <c r="K8" s="117" t="s">
        <v>55</v>
      </c>
      <c r="L8" s="118">
        <f t="array" ref="L8">M8 + sum(IF((D5:D40="bKash--&gt;givenLend")+(D5:D40="Cash--&gt;givenLend")+(D5:D40="SonaliBU--&gt;givenLend"), C5:C40, 0)) - sum(IF((D5:D40="givenLend--&gt;bKash")+(D5:D40="givenLend--&gt;Cash")+(D5:D40="givenLend--&gt;SonaliBU"), C5:C40, 0))</f>
        <v>1000</v>
      </c>
      <c r="M8" s="119">
        <f>2415+75</f>
        <v>2490</v>
      </c>
      <c r="O8" s="31" t="s">
        <v>56</v>
      </c>
      <c r="P8" s="111">
        <v>5000.0</v>
      </c>
      <c r="Q8" s="42">
        <f>2440+180+160+1480+2190+4147</f>
        <v>10597</v>
      </c>
      <c r="R8" s="34">
        <f t="shared" si="2"/>
        <v>-5597</v>
      </c>
    </row>
    <row r="9">
      <c r="B9" s="169">
        <v>45720.0</v>
      </c>
      <c r="C9" s="108">
        <v>10000.0</v>
      </c>
      <c r="D9" s="174" t="s">
        <v>69</v>
      </c>
      <c r="E9" s="171"/>
      <c r="F9" s="99" t="s">
        <v>57</v>
      </c>
      <c r="G9" s="100">
        <v>45715.0</v>
      </c>
      <c r="H9" s="112">
        <f>30</f>
        <v>30</v>
      </c>
      <c r="I9" s="109">
        <f>10200+208</f>
        <v>10408</v>
      </c>
      <c r="J9" s="175"/>
      <c r="K9" s="120" t="s">
        <v>58</v>
      </c>
      <c r="L9" s="121">
        <f t="array" ref="L9">M9 + sum(IF((D5:D40="takenLend--&gt;Cash")+(D5:D40="takenLend--&gt;bKash"), C5:C40, 0)) - sum(IF((D5:D40="Cash--&gt;takenLend")+(D5:D40="bKash--&gt;takenLend"), C5:C40, 0))</f>
        <v>0</v>
      </c>
      <c r="M9" s="122">
        <v>-15.0</v>
      </c>
      <c r="O9" s="31" t="s">
        <v>59</v>
      </c>
      <c r="P9" s="111">
        <v>1200.0</v>
      </c>
      <c r="Q9" s="42">
        <f>208+297+300+225</f>
        <v>1030</v>
      </c>
      <c r="R9" s="34">
        <f t="shared" si="2"/>
        <v>170</v>
      </c>
    </row>
    <row r="10">
      <c r="B10" s="148">
        <v>45722.0</v>
      </c>
      <c r="C10" s="108">
        <v>1000.0</v>
      </c>
      <c r="D10" s="174" t="s">
        <v>81</v>
      </c>
      <c r="E10" s="176"/>
      <c r="F10" s="177" t="s">
        <v>60</v>
      </c>
      <c r="G10" s="100">
        <v>45716.0</v>
      </c>
      <c r="H10" s="127">
        <f>(15*3+5) + 80 + 180 + 75</f>
        <v>385</v>
      </c>
      <c r="I10" s="178">
        <f>2500+2440
</f>
        <v>4940</v>
      </c>
      <c r="J10" s="36">
        <v>1.0</v>
      </c>
      <c r="K10" s="31" t="s">
        <v>89</v>
      </c>
      <c r="L10" s="102">
        <f t="array" ref="L10">M10 + sum(IF((D5:D40="S_A/C--&gt;SonaliBU")+(D5:D40="givenLend--&gt;SonaliBU"), C5:C40, 0)) - sum(IF((D5:D40="SonaliBU--&gt;givenLend")+(D5:D40="SonaliBU--&gt;bKash"), C5:C40, 0))</f>
        <v>290</v>
      </c>
      <c r="M10" s="103">
        <f>300</f>
        <v>300</v>
      </c>
      <c r="O10" s="179" t="s">
        <v>62</v>
      </c>
      <c r="P10" s="180">
        <v>2500.0</v>
      </c>
      <c r="Q10" s="181">
        <v>2500.0</v>
      </c>
      <c r="R10" s="182">
        <f t="shared" si="2"/>
        <v>0</v>
      </c>
    </row>
    <row r="11">
      <c r="B11" s="169">
        <v>45724.0</v>
      </c>
      <c r="C11" s="142">
        <v>10010.0</v>
      </c>
      <c r="D11" s="174" t="s">
        <v>90</v>
      </c>
      <c r="E11" s="176"/>
      <c r="F11" s="177" t="s">
        <v>64</v>
      </c>
      <c r="G11" s="100">
        <v>45717.0</v>
      </c>
      <c r="H11" s="112">
        <f>30+(15*3+5)+(500+275+25)+(50)</f>
        <v>930</v>
      </c>
      <c r="I11" s="109"/>
      <c r="J11" s="36">
        <v>3.0</v>
      </c>
      <c r="K11" s="62" t="s">
        <v>91</v>
      </c>
      <c r="L11" s="102">
        <f t="shared" ref="L11:L12" si="3">M11</f>
        <v>507</v>
      </c>
      <c r="M11" s="103">
        <v>507.0</v>
      </c>
      <c r="O11" s="31" t="s">
        <v>66</v>
      </c>
      <c r="P11" s="10">
        <v>0.0</v>
      </c>
      <c r="Q11" s="47"/>
      <c r="R11" s="48">
        <f t="shared" si="2"/>
        <v>0</v>
      </c>
    </row>
    <row r="12">
      <c r="B12" s="169">
        <v>45729.0</v>
      </c>
      <c r="C12" s="108">
        <v>3000.0</v>
      </c>
      <c r="D12" s="174" t="s">
        <v>69</v>
      </c>
      <c r="E12" s="171"/>
      <c r="F12" s="99" t="s">
        <v>45</v>
      </c>
      <c r="G12" s="135">
        <v>45718.0</v>
      </c>
      <c r="H12" s="136">
        <f>200+15</f>
        <v>215</v>
      </c>
      <c r="I12" s="113">
        <f>297</f>
        <v>297</v>
      </c>
      <c r="J12" s="36">
        <v>1.0</v>
      </c>
      <c r="K12" s="31" t="s">
        <v>65</v>
      </c>
      <c r="L12" s="47" t="str">
        <f t="shared" si="3"/>
        <v/>
      </c>
      <c r="M12" s="48"/>
      <c r="O12" s="31" t="s">
        <v>68</v>
      </c>
      <c r="P12" s="10">
        <v>800.0</v>
      </c>
      <c r="Q12" s="42">
        <f>75+280+70+70</f>
        <v>495</v>
      </c>
      <c r="R12" s="48">
        <f t="shared" si="2"/>
        <v>305</v>
      </c>
    </row>
    <row r="13">
      <c r="B13" s="169">
        <v>45730.0</v>
      </c>
      <c r="C13" s="142">
        <v>10000.0</v>
      </c>
      <c r="D13" s="174" t="s">
        <v>92</v>
      </c>
      <c r="E13" s="171"/>
      <c r="F13" s="99" t="s">
        <v>48</v>
      </c>
      <c r="G13" s="100">
        <v>45719.0</v>
      </c>
      <c r="H13" s="112">
        <f>15</f>
        <v>15</v>
      </c>
      <c r="I13" s="109"/>
      <c r="J13" s="36">
        <v>1.0</v>
      </c>
      <c r="K13" s="153"/>
      <c r="L13" s="154"/>
      <c r="M13" s="68"/>
      <c r="O13" s="31" t="s">
        <v>70</v>
      </c>
      <c r="P13" s="10">
        <v>700.0</v>
      </c>
      <c r="Q13" s="47">
        <f>80+30+50+30+80+140+35</f>
        <v>445</v>
      </c>
      <c r="R13" s="48">
        <f t="shared" si="2"/>
        <v>255</v>
      </c>
    </row>
    <row r="14">
      <c r="B14" s="169">
        <v>45732.0</v>
      </c>
      <c r="C14" s="108">
        <v>1030.0</v>
      </c>
      <c r="D14" s="174" t="s">
        <v>93</v>
      </c>
      <c r="E14" s="171"/>
      <c r="F14" s="99" t="s">
        <v>50</v>
      </c>
      <c r="G14" s="100">
        <v>45720.0</v>
      </c>
      <c r="H14" s="112">
        <f>(180+240)+(280)+15+30</f>
        <v>745</v>
      </c>
      <c r="I14" s="109"/>
      <c r="J14" s="36">
        <v>1.0</v>
      </c>
      <c r="O14" s="31" t="s">
        <v>73</v>
      </c>
      <c r="P14" s="10">
        <v>300.0</v>
      </c>
      <c r="Q14" s="47">
        <f>90+30+1600+30</f>
        <v>1750</v>
      </c>
      <c r="R14" s="48">
        <f t="shared" si="2"/>
        <v>-1450</v>
      </c>
    </row>
    <row r="15">
      <c r="B15" s="169">
        <v>45732.0</v>
      </c>
      <c r="C15" s="108">
        <v>400.0</v>
      </c>
      <c r="D15" s="174" t="s">
        <v>81</v>
      </c>
      <c r="E15" s="171"/>
      <c r="F15" s="99" t="s">
        <v>54</v>
      </c>
      <c r="G15" s="100">
        <v>45721.0</v>
      </c>
      <c r="H15" s="108">
        <f>15</f>
        <v>15</v>
      </c>
      <c r="I15" s="113"/>
      <c r="J15" s="36">
        <v>1.0</v>
      </c>
      <c r="K15" s="137" t="s">
        <v>72</v>
      </c>
      <c r="L15" s="86"/>
      <c r="M15" s="138">
        <f>sum(M17:M22)</f>
        <v>1000</v>
      </c>
      <c r="O15" s="31" t="s">
        <v>75</v>
      </c>
      <c r="P15" s="10">
        <v>500.0</v>
      </c>
      <c r="Q15" s="47">
        <f>30+50+50+15+15+15+15+15+15+5+17+15+17+15+52+50+15+40+15+15+15</f>
        <v>491</v>
      </c>
      <c r="R15" s="48">
        <f t="shared" si="2"/>
        <v>9</v>
      </c>
    </row>
    <row r="16">
      <c r="B16" s="169">
        <v>45732.0</v>
      </c>
      <c r="C16" s="108">
        <v>1000.0</v>
      </c>
      <c r="D16" s="174" t="s">
        <v>76</v>
      </c>
      <c r="E16" s="171"/>
      <c r="F16" s="99" t="s">
        <v>57</v>
      </c>
      <c r="G16" s="100">
        <v>45722.0</v>
      </c>
      <c r="H16" s="112">
        <f>(10+50+30)</f>
        <v>90</v>
      </c>
      <c r="I16" s="113"/>
      <c r="J16" s="36">
        <v>1.0</v>
      </c>
      <c r="K16" s="139" t="s">
        <v>6</v>
      </c>
      <c r="L16" s="140" t="s">
        <v>74</v>
      </c>
      <c r="M16" s="141" t="s">
        <v>35</v>
      </c>
      <c r="O16" s="62" t="s">
        <v>78</v>
      </c>
      <c r="P16" s="10">
        <v>0.0</v>
      </c>
      <c r="R16" s="48">
        <f t="shared" si="2"/>
        <v>0</v>
      </c>
    </row>
    <row r="17">
      <c r="B17" s="169">
        <v>45735.0</v>
      </c>
      <c r="C17" s="142">
        <v>10000.0</v>
      </c>
      <c r="D17" s="174" t="s">
        <v>81</v>
      </c>
      <c r="E17" s="176"/>
      <c r="F17" s="177" t="s">
        <v>60</v>
      </c>
      <c r="G17" s="100">
        <v>45723.0</v>
      </c>
      <c r="H17" s="112">
        <f>(110+20)+15</f>
        <v>145</v>
      </c>
      <c r="I17" s="113"/>
      <c r="J17" s="36">
        <v>1.0</v>
      </c>
      <c r="K17" s="108"/>
      <c r="L17" s="132"/>
      <c r="M17" s="103"/>
      <c r="O17" s="144" t="s">
        <v>80</v>
      </c>
      <c r="P17" s="183">
        <v>500.0</v>
      </c>
      <c r="Q17" s="184">
        <f>100+100</f>
        <v>200</v>
      </c>
      <c r="R17" s="147">
        <f t="shared" si="2"/>
        <v>300</v>
      </c>
    </row>
    <row r="18">
      <c r="B18" s="169">
        <v>45736.0</v>
      </c>
      <c r="C18" s="108">
        <v>5100.0</v>
      </c>
      <c r="D18" s="174" t="s">
        <v>63</v>
      </c>
      <c r="E18" s="176"/>
      <c r="F18" s="177" t="s">
        <v>64</v>
      </c>
      <c r="G18" s="100">
        <v>45724.0</v>
      </c>
      <c r="H18" s="108">
        <f>7000+(750+260)+15</f>
        <v>8025</v>
      </c>
      <c r="I18" s="113"/>
      <c r="J18" s="36">
        <v>1.0</v>
      </c>
      <c r="K18" s="143"/>
      <c r="L18" s="132"/>
      <c r="M18" s="185"/>
      <c r="O18" s="65" t="s">
        <v>83</v>
      </c>
      <c r="P18" s="67">
        <v>1500.0</v>
      </c>
      <c r="Q18" s="67">
        <f>(180+220)+800+200+130+240+750+260+22+20+570+155+250+350-50+175+155</f>
        <v>4427</v>
      </c>
      <c r="R18" s="68">
        <f t="shared" si="2"/>
        <v>-2927</v>
      </c>
    </row>
    <row r="19">
      <c r="B19" s="169">
        <v>45740.0</v>
      </c>
      <c r="C19" s="108">
        <v>5200.0</v>
      </c>
      <c r="D19" s="174" t="s">
        <v>81</v>
      </c>
      <c r="E19" s="171"/>
      <c r="F19" s="99" t="s">
        <v>45</v>
      </c>
      <c r="G19" s="100">
        <v>45725.0</v>
      </c>
      <c r="H19" s="108">
        <f>220+160+(22+20)
</f>
        <v>422</v>
      </c>
      <c r="I19" s="113"/>
      <c r="J19" s="36">
        <v>1.0</v>
      </c>
      <c r="K19" s="148">
        <v>45712.0</v>
      </c>
      <c r="L19" s="132" t="s">
        <v>82</v>
      </c>
      <c r="M19" s="103">
        <v>1000.0</v>
      </c>
    </row>
    <row r="20">
      <c r="B20" s="148">
        <v>45740.0</v>
      </c>
      <c r="C20" s="108">
        <v>1015.0</v>
      </c>
      <c r="D20" s="174" t="s">
        <v>94</v>
      </c>
      <c r="E20" s="171"/>
      <c r="F20" s="99" t="s">
        <v>48</v>
      </c>
      <c r="G20" s="100">
        <v>45726.0</v>
      </c>
      <c r="H20" s="127">
        <f>30</f>
        <v>30</v>
      </c>
      <c r="I20" s="149"/>
      <c r="J20" s="36">
        <v>1.0</v>
      </c>
      <c r="K20" s="148"/>
      <c r="L20" s="132"/>
      <c r="M20" s="185"/>
    </row>
    <row r="21">
      <c r="B21" s="186"/>
      <c r="C21" s="142"/>
      <c r="D21" s="174" t="s">
        <v>44</v>
      </c>
      <c r="E21" s="171"/>
      <c r="F21" s="99" t="s">
        <v>50</v>
      </c>
      <c r="G21" s="100">
        <v>45727.0</v>
      </c>
      <c r="H21" s="97">
        <f>70+5</f>
        <v>75</v>
      </c>
      <c r="I21" s="101"/>
      <c r="J21" s="36">
        <v>1.0</v>
      </c>
      <c r="K21" s="112"/>
      <c r="L21" s="102"/>
      <c r="M21" s="48"/>
    </row>
    <row r="22">
      <c r="B22" s="187"/>
      <c r="C22" s="112"/>
      <c r="D22" s="174" t="s">
        <v>44</v>
      </c>
      <c r="E22" s="171"/>
      <c r="F22" s="99" t="s">
        <v>54</v>
      </c>
      <c r="G22" s="100">
        <v>45728.0</v>
      </c>
      <c r="H22" s="112">
        <f>(200+280+40+50)+15+2</f>
        <v>587</v>
      </c>
      <c r="I22" s="113"/>
      <c r="J22" s="36">
        <v>1.0</v>
      </c>
      <c r="K22" s="127"/>
      <c r="L22" s="133"/>
      <c r="M22" s="68"/>
    </row>
    <row r="23">
      <c r="B23" s="187"/>
      <c r="C23" s="112"/>
      <c r="D23" s="174" t="s">
        <v>44</v>
      </c>
      <c r="E23" s="171"/>
      <c r="F23" s="99" t="s">
        <v>57</v>
      </c>
      <c r="G23" s="100">
        <v>45729.0</v>
      </c>
      <c r="H23" s="112">
        <f>(500+580+400) +15 +80</f>
        <v>1575</v>
      </c>
      <c r="I23" s="113"/>
      <c r="J23" s="36">
        <v>1.0</v>
      </c>
    </row>
    <row r="24">
      <c r="B24" s="174"/>
      <c r="C24" s="108"/>
      <c r="D24" s="174" t="s">
        <v>44</v>
      </c>
      <c r="E24" s="176"/>
      <c r="F24" s="177" t="s">
        <v>60</v>
      </c>
      <c r="G24" s="100">
        <v>45730.0</v>
      </c>
      <c r="H24" s="108">
        <f>15+2</f>
        <v>17</v>
      </c>
      <c r="I24" s="109">
        <v>10100.0</v>
      </c>
      <c r="J24" s="36">
        <v>1.0</v>
      </c>
      <c r="K24" s="137" t="s">
        <v>84</v>
      </c>
      <c r="L24" s="86"/>
      <c r="M24" s="138">
        <f>sum(M26:M31)</f>
        <v>0</v>
      </c>
    </row>
    <row r="25">
      <c r="B25" s="174"/>
      <c r="C25" s="108"/>
      <c r="D25" s="174" t="s">
        <v>44</v>
      </c>
      <c r="E25" s="176"/>
      <c r="F25" s="177" t="s">
        <v>64</v>
      </c>
      <c r="G25" s="100">
        <v>45731.0</v>
      </c>
      <c r="H25" s="108">
        <v>15.0</v>
      </c>
      <c r="I25" s="109"/>
      <c r="J25" s="36">
        <v>1.0</v>
      </c>
      <c r="K25" s="139" t="s">
        <v>6</v>
      </c>
      <c r="L25" s="140" t="s">
        <v>85</v>
      </c>
      <c r="M25" s="141" t="s">
        <v>35</v>
      </c>
    </row>
    <row r="26">
      <c r="B26" s="187"/>
      <c r="C26" s="112"/>
      <c r="D26" s="174" t="s">
        <v>44</v>
      </c>
      <c r="E26" s="171"/>
      <c r="F26" s="99" t="s">
        <v>45</v>
      </c>
      <c r="G26" s="100">
        <v>45732.0</v>
      </c>
      <c r="H26" s="112">
        <f>1600+(35+15+2)</f>
        <v>1652</v>
      </c>
      <c r="I26" s="113">
        <f>2190</f>
        <v>2190</v>
      </c>
      <c r="J26" s="36">
        <v>1.0</v>
      </c>
      <c r="K26" s="188"/>
      <c r="L26" s="42"/>
      <c r="M26" s="103"/>
    </row>
    <row r="27">
      <c r="B27" s="187"/>
      <c r="C27" s="112"/>
      <c r="D27" s="174" t="s">
        <v>44</v>
      </c>
      <c r="E27" s="171"/>
      <c r="F27" s="99" t="s">
        <v>48</v>
      </c>
      <c r="G27" s="100">
        <v>45733.0</v>
      </c>
      <c r="H27" s="108">
        <f>15+2</f>
        <v>17</v>
      </c>
      <c r="I27" s="109"/>
      <c r="J27" s="36">
        <v>1.0</v>
      </c>
      <c r="K27" s="152"/>
      <c r="L27" s="47"/>
      <c r="M27" s="48"/>
    </row>
    <row r="28">
      <c r="B28" s="187"/>
      <c r="C28" s="112"/>
      <c r="D28" s="174" t="s">
        <v>44</v>
      </c>
      <c r="E28" s="171"/>
      <c r="F28" s="99" t="s">
        <v>50</v>
      </c>
      <c r="G28" s="100">
        <v>45734.0</v>
      </c>
      <c r="H28" s="108">
        <f>15+10</f>
        <v>25</v>
      </c>
      <c r="I28" s="113"/>
      <c r="J28" s="36">
        <v>1.0</v>
      </c>
      <c r="K28" s="152"/>
      <c r="L28" s="47"/>
      <c r="M28" s="48"/>
    </row>
    <row r="29">
      <c r="B29" s="187"/>
      <c r="C29" s="112"/>
      <c r="D29" s="174" t="s">
        <v>44</v>
      </c>
      <c r="E29" s="171"/>
      <c r="F29" s="99" t="s">
        <v>54</v>
      </c>
      <c r="G29" s="100">
        <v>45735.0</v>
      </c>
      <c r="H29" s="108">
        <f>15+(195+30+125)+100+35</f>
        <v>500</v>
      </c>
      <c r="I29" s="109"/>
      <c r="J29" s="36">
        <v>2.0</v>
      </c>
      <c r="K29" s="152"/>
      <c r="L29" s="47"/>
      <c r="M29" s="48"/>
    </row>
    <row r="30">
      <c r="B30" s="108"/>
      <c r="C30" s="108"/>
      <c r="D30" s="174" t="s">
        <v>44</v>
      </c>
      <c r="E30" s="171"/>
      <c r="F30" s="99" t="s">
        <v>57</v>
      </c>
      <c r="G30" s="100">
        <v>45736.0</v>
      </c>
      <c r="H30" s="127">
        <f>(15+25)+(30+180+40-50)</f>
        <v>240</v>
      </c>
      <c r="I30" s="133"/>
      <c r="J30" s="189">
        <v>3.0</v>
      </c>
      <c r="K30" s="152"/>
      <c r="L30" s="47"/>
      <c r="M30" s="48"/>
    </row>
    <row r="31">
      <c r="B31" s="187"/>
      <c r="C31" s="112"/>
      <c r="D31" s="174" t="s">
        <v>44</v>
      </c>
      <c r="E31" s="176"/>
      <c r="F31" s="177" t="s">
        <v>60</v>
      </c>
      <c r="G31" s="100">
        <v>45737.0</v>
      </c>
      <c r="H31" s="108">
        <f>(60+80)</f>
        <v>140</v>
      </c>
      <c r="I31" s="113"/>
      <c r="J31" s="36">
        <v>2.0</v>
      </c>
      <c r="K31" s="153"/>
      <c r="L31" s="154"/>
      <c r="M31" s="68"/>
    </row>
    <row r="32">
      <c r="B32" s="174"/>
      <c r="C32" s="108"/>
      <c r="D32" s="174" t="s">
        <v>44</v>
      </c>
      <c r="E32" s="176"/>
      <c r="F32" s="177" t="s">
        <v>64</v>
      </c>
      <c r="G32" s="100">
        <v>45738.0</v>
      </c>
      <c r="H32" s="112">
        <f>30+15</f>
        <v>45</v>
      </c>
      <c r="I32" s="109">
        <f>300+4147</f>
        <v>4447</v>
      </c>
      <c r="J32" s="36">
        <v>2.0</v>
      </c>
    </row>
    <row r="33">
      <c r="B33" s="174"/>
      <c r="C33" s="108"/>
      <c r="D33" s="174" t="s">
        <v>44</v>
      </c>
      <c r="E33" s="171"/>
      <c r="F33" s="99" t="s">
        <v>45</v>
      </c>
      <c r="G33" s="100">
        <v>45739.0</v>
      </c>
      <c r="H33" s="112">
        <f>100+30+25+(35+15)</f>
        <v>205</v>
      </c>
      <c r="I33" s="113"/>
      <c r="J33" s="36">
        <v>2.0</v>
      </c>
    </row>
    <row r="34">
      <c r="B34" s="174"/>
      <c r="C34" s="108"/>
      <c r="D34" s="174" t="s">
        <v>44</v>
      </c>
      <c r="E34" s="171"/>
      <c r="F34" s="99" t="s">
        <v>48</v>
      </c>
      <c r="G34" s="100">
        <v>45740.0</v>
      </c>
      <c r="H34" s="108">
        <f>15+70</f>
        <v>85</v>
      </c>
      <c r="I34" s="109">
        <f>225+100</f>
        <v>325</v>
      </c>
      <c r="J34" s="36">
        <v>2.0</v>
      </c>
    </row>
    <row r="35">
      <c r="B35" s="187"/>
      <c r="C35" s="112"/>
      <c r="D35" s="174" t="s">
        <v>44</v>
      </c>
      <c r="E35" s="171"/>
      <c r="F35" s="99" t="s">
        <v>50</v>
      </c>
      <c r="G35" s="100">
        <v>45741.0</v>
      </c>
      <c r="H35" s="112">
        <f>15+(35+140)</f>
        <v>190</v>
      </c>
      <c r="I35" s="113"/>
      <c r="J35" s="36">
        <v>2.0</v>
      </c>
    </row>
    <row r="36">
      <c r="B36" s="187"/>
      <c r="C36" s="112"/>
      <c r="D36" s="174" t="s">
        <v>44</v>
      </c>
      <c r="E36" s="171"/>
      <c r="F36" s="99" t="s">
        <v>54</v>
      </c>
      <c r="G36" s="100">
        <v>45742.0</v>
      </c>
      <c r="H36" s="108">
        <f>60+15+70+200</f>
        <v>345</v>
      </c>
      <c r="I36" s="113"/>
      <c r="J36" s="36">
        <v>1.0</v>
      </c>
    </row>
    <row r="37">
      <c r="B37" s="187"/>
      <c r="C37" s="112"/>
      <c r="D37" s="174" t="s">
        <v>44</v>
      </c>
      <c r="E37" s="190"/>
      <c r="F37" s="155"/>
      <c r="G37" s="155"/>
      <c r="H37" s="112"/>
      <c r="I37" s="113"/>
      <c r="J37" s="43"/>
    </row>
    <row r="38">
      <c r="B38" s="187"/>
      <c r="C38" s="112"/>
      <c r="D38" s="174" t="s">
        <v>44</v>
      </c>
      <c r="E38" s="190"/>
      <c r="F38" s="155"/>
      <c r="G38" s="155"/>
      <c r="H38" s="108"/>
      <c r="I38" s="113"/>
      <c r="J38" s="43"/>
    </row>
    <row r="39">
      <c r="B39" s="187"/>
      <c r="C39" s="112"/>
      <c r="D39" s="174" t="s">
        <v>44</v>
      </c>
      <c r="E39" s="190"/>
      <c r="F39" s="155"/>
      <c r="G39" s="155"/>
      <c r="H39" s="112"/>
      <c r="I39" s="113"/>
      <c r="J39" s="43"/>
    </row>
    <row r="40">
      <c r="B40" s="191"/>
      <c r="C40" s="127"/>
      <c r="D40" s="192" t="s">
        <v>44</v>
      </c>
      <c r="E40" s="190"/>
      <c r="F40" s="156"/>
      <c r="G40" s="156"/>
      <c r="H40" s="127"/>
      <c r="I40" s="149"/>
      <c r="J40" s="43"/>
    </row>
  </sheetData>
  <mergeCells count="6">
    <mergeCell ref="B3:D3"/>
    <mergeCell ref="F3:F4"/>
    <mergeCell ref="G3:G4"/>
    <mergeCell ref="K3:L3"/>
    <mergeCell ref="K15:L15"/>
    <mergeCell ref="K24:L24"/>
  </mergeCells>
  <dataValidations>
    <dataValidation type="list" allowBlank="1" showErrorMessage="1" sqref="D5:D40">
      <formula1>"None,S_A/C--&gt;bKash,S_A/C--&gt;Cash,bKash--&gt;givenLend,Cash--&gt;givenLend,SonaliBU--&gt;givenLend,givenLend--&gt;bKash,givenLend--&gt;Cash,givenLend--&gt;SonaliBU,takenLend--&gt;Cash,takenLend--&gt;bKash,bKash--&gt;takenLend,Cash--&gt;takenLend,bKash--&gt;Cash,Cash--&gt;bKash,S_A/C--&gt;SonaliB"&amp;"U,SonaliBU--&gt;bKash"</formula1>
    </dataValidation>
  </dataValidations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2.25"/>
    <col customWidth="1" min="2" max="2" width="7.25"/>
    <col customWidth="1" min="3" max="3" width="4.75"/>
    <col customWidth="1" min="4" max="4" width="6.88"/>
    <col customWidth="1" min="5" max="5" width="23.38"/>
    <col customWidth="1" min="6" max="6" width="0.38"/>
    <col customWidth="1" min="7" max="7" width="9.88"/>
    <col customWidth="1" min="8" max="8" width="10.0"/>
    <col customWidth="1" min="9" max="10" width="9.13"/>
    <col customWidth="1" min="11" max="11" width="4.5"/>
    <col customWidth="1" min="12" max="12" width="10.13"/>
    <col customWidth="1" min="13" max="13" width="12.13"/>
    <col customWidth="1" min="14" max="14" width="8.38"/>
    <col customWidth="1" min="15" max="15" width="2.0"/>
    <col customWidth="1" min="16" max="16" width="11.13"/>
    <col customWidth="1" min="17" max="17" width="9.13"/>
    <col customWidth="1" min="18" max="18" width="9.38"/>
    <col customWidth="1" min="19" max="19" width="10.0"/>
    <col customWidth="1" min="20" max="20" width="4.25"/>
    <col customWidth="1" min="21" max="22" width="7.13"/>
    <col customWidth="1" min="23" max="23" width="9.13"/>
    <col customWidth="1" min="24" max="24" width="5.5"/>
    <col customWidth="1" min="25" max="26" width="5.88"/>
    <col customWidth="1" min="27" max="27" width="5.13"/>
    <col customWidth="1" min="28" max="28" width="5.38"/>
    <col customWidth="1" min="29" max="29" width="5.75"/>
    <col customWidth="1" min="30" max="30" width="5.63"/>
    <col customWidth="1" min="31" max="31" width="6.75"/>
    <col customWidth="1" min="32" max="32" width="5.75"/>
    <col customWidth="1" min="33" max="33" width="6.88"/>
    <col customWidth="1" min="34" max="34" width="6.5"/>
    <col customWidth="1" min="35" max="47" width="5.88"/>
  </cols>
  <sheetData>
    <row r="1" outlineLevel="1"/>
    <row r="2" outlineLevel="1">
      <c r="B2" s="157" t="s">
        <v>95</v>
      </c>
      <c r="C2" s="158"/>
      <c r="D2" s="158"/>
      <c r="E2" s="159"/>
      <c r="F2" s="160"/>
      <c r="G2" s="161" t="s">
        <v>32</v>
      </c>
      <c r="H2" s="162" t="s">
        <v>6</v>
      </c>
      <c r="I2" s="84" t="s">
        <v>33</v>
      </c>
      <c r="J2" s="85">
        <f>Sum(I4:I39)+sum(J4:J39)</f>
        <v>52938</v>
      </c>
      <c r="K2" s="43"/>
      <c r="L2" s="84" t="s">
        <v>34</v>
      </c>
      <c r="M2" s="86"/>
      <c r="N2" s="85">
        <f>M4+M5+M6-M8</f>
        <v>4894</v>
      </c>
      <c r="P2" s="87" t="s">
        <v>9</v>
      </c>
      <c r="Q2" s="88">
        <f t="shared" ref="Q2:S2" si="1">sum(Q4:Q17)</f>
        <v>40000</v>
      </c>
      <c r="R2" s="89">
        <f t="shared" si="1"/>
        <v>52938</v>
      </c>
      <c r="S2" s="90">
        <f t="shared" si="1"/>
        <v>-12938</v>
      </c>
      <c r="U2" s="193" t="s">
        <v>96</v>
      </c>
      <c r="V2" s="81"/>
      <c r="W2" s="194" t="s">
        <v>6</v>
      </c>
      <c r="X2" s="195" t="s">
        <v>83</v>
      </c>
      <c r="Y2" s="81"/>
      <c r="Z2" s="196" t="s">
        <v>75</v>
      </c>
      <c r="AA2" s="81"/>
      <c r="AB2" s="197" t="s">
        <v>70</v>
      </c>
      <c r="AC2" s="81"/>
      <c r="AD2" s="198" t="s">
        <v>68</v>
      </c>
      <c r="AE2" s="81"/>
      <c r="AF2" s="199" t="s">
        <v>59</v>
      </c>
      <c r="AG2" s="81"/>
      <c r="AH2" s="200" t="s">
        <v>56</v>
      </c>
      <c r="AI2" s="81"/>
      <c r="AJ2" s="201" t="s">
        <v>73</v>
      </c>
      <c r="AK2" s="81"/>
      <c r="AL2" s="202" t="s">
        <v>49</v>
      </c>
      <c r="AM2" s="81"/>
      <c r="AN2" s="193" t="s">
        <v>52</v>
      </c>
      <c r="AO2" s="81"/>
      <c r="AP2" s="203" t="s">
        <v>62</v>
      </c>
      <c r="AQ2" s="81"/>
      <c r="AR2" s="204" t="s">
        <v>80</v>
      </c>
      <c r="AS2" s="81"/>
      <c r="AT2" s="205" t="s">
        <v>47</v>
      </c>
      <c r="AU2" s="81"/>
    </row>
    <row r="3" outlineLevel="1">
      <c r="B3" s="163" t="s">
        <v>6</v>
      </c>
      <c r="C3" s="206" t="s">
        <v>4</v>
      </c>
      <c r="D3" s="164" t="s">
        <v>35</v>
      </c>
      <c r="E3" s="164" t="s">
        <v>36</v>
      </c>
      <c r="F3" s="165"/>
      <c r="G3" s="93"/>
      <c r="H3" s="94"/>
      <c r="I3" s="166" t="s">
        <v>51</v>
      </c>
      <c r="J3" s="168" t="s">
        <v>12</v>
      </c>
      <c r="K3" s="43"/>
      <c r="L3" s="166" t="s">
        <v>39</v>
      </c>
      <c r="M3" s="167" t="s">
        <v>40</v>
      </c>
      <c r="N3" s="168" t="s">
        <v>41</v>
      </c>
      <c r="P3" s="91" t="s">
        <v>42</v>
      </c>
      <c r="Q3" s="96" t="s">
        <v>43</v>
      </c>
      <c r="R3" s="96" t="s">
        <v>4</v>
      </c>
      <c r="S3" s="92" t="s">
        <v>5</v>
      </c>
      <c r="U3" s="207" t="s">
        <v>51</v>
      </c>
      <c r="V3" s="208" t="s">
        <v>12</v>
      </c>
      <c r="W3" s="14"/>
      <c r="X3" s="209" t="s">
        <v>51</v>
      </c>
      <c r="Y3" s="210" t="s">
        <v>12</v>
      </c>
      <c r="Z3" s="211" t="s">
        <v>51</v>
      </c>
      <c r="AA3" s="212" t="s">
        <v>12</v>
      </c>
      <c r="AB3" s="213" t="s">
        <v>51</v>
      </c>
      <c r="AC3" s="214" t="s">
        <v>12</v>
      </c>
      <c r="AD3" s="215" t="s">
        <v>51</v>
      </c>
      <c r="AE3" s="216" t="s">
        <v>12</v>
      </c>
      <c r="AF3" s="217" t="s">
        <v>51</v>
      </c>
      <c r="AG3" s="218" t="s">
        <v>12</v>
      </c>
      <c r="AH3" s="219" t="s">
        <v>51</v>
      </c>
      <c r="AI3" s="220" t="s">
        <v>12</v>
      </c>
      <c r="AJ3" s="221" t="s">
        <v>51</v>
      </c>
      <c r="AK3" s="222" t="s">
        <v>12</v>
      </c>
      <c r="AL3" s="223" t="s">
        <v>51</v>
      </c>
      <c r="AM3" s="224" t="s">
        <v>12</v>
      </c>
      <c r="AN3" s="207" t="s">
        <v>51</v>
      </c>
      <c r="AO3" s="208" t="s">
        <v>12</v>
      </c>
      <c r="AP3" s="225" t="s">
        <v>51</v>
      </c>
      <c r="AQ3" s="226" t="s">
        <v>12</v>
      </c>
      <c r="AR3" s="227" t="s">
        <v>51</v>
      </c>
      <c r="AS3" s="228" t="s">
        <v>12</v>
      </c>
      <c r="AT3" s="229" t="s">
        <v>51</v>
      </c>
      <c r="AU3" s="228" t="s">
        <v>12</v>
      </c>
    </row>
    <row r="4">
      <c r="B4" s="169">
        <v>45740.0</v>
      </c>
      <c r="C4" s="108"/>
      <c r="D4" s="150">
        <v>49500.0</v>
      </c>
      <c r="E4" s="174" t="s">
        <v>97</v>
      </c>
      <c r="F4" s="171"/>
      <c r="G4" s="99" t="s">
        <v>54</v>
      </c>
      <c r="H4" s="100">
        <v>45742.0</v>
      </c>
      <c r="I4" s="97">
        <f t="shared" ref="I4:J4" si="2">X4+Z4+AB4+AD4+AF4+AH4+AJ4+AL4+AN4+AP4+AR4+AT4</f>
        <v>1500</v>
      </c>
      <c r="J4" s="101">
        <f t="shared" si="2"/>
        <v>2500</v>
      </c>
      <c r="K4" s="43"/>
      <c r="L4" s="22" t="s">
        <v>46</v>
      </c>
      <c r="M4" s="172">
        <f t="array" ref="M4">N4 - sum(IF((E4:E39="S_A/C--&gt;bKash")+(E4:E39="S_A/C--&gt;Cash")+(E4:E39="S_A/C--&gt;SonaliBU"), D4:D39, 0)) + sum(IF((E4:E39="add--&gt;S_A/C"), D4:D39, 0)) - sum(IF((E4:E39="S_A/C--&gt;Cash"), C4:C39, 0))</f>
        <v>822</v>
      </c>
      <c r="N4" s="173">
        <f>'March 25'!L5</f>
        <v>46</v>
      </c>
      <c r="P4" s="104" t="s">
        <v>47</v>
      </c>
      <c r="Q4" s="105">
        <v>0.0</v>
      </c>
      <c r="R4" s="106">
        <f>sum(AT4:AT39)+sum(AU4:AU39)</f>
        <v>0</v>
      </c>
      <c r="S4" s="107">
        <f t="shared" ref="S4:S17" si="5">Q4-R4</f>
        <v>0</v>
      </c>
      <c r="U4" s="230">
        <f t="shared" ref="U4:V4" si="3">X4+Z4+AB4+AD4+AF4+AH4+AJ4+AL4+AN4+AP4+AR4+AT4</f>
        <v>1500</v>
      </c>
      <c r="V4" s="231">
        <f t="shared" si="3"/>
        <v>2500</v>
      </c>
      <c r="W4" s="232" t="str">
        <f t="shared" ref="W4:W35" si="7">IF(H4&lt;&gt;"", TEXT(H4, "DD/MM/YY"), "")</f>
        <v>26/03/25</v>
      </c>
      <c r="X4" s="233"/>
      <c r="Y4" s="234"/>
      <c r="Z4" s="235"/>
      <c r="AA4" s="236"/>
      <c r="AB4" s="237"/>
      <c r="AC4" s="238"/>
      <c r="AD4" s="239"/>
      <c r="AE4" s="240"/>
      <c r="AF4" s="241"/>
      <c r="AG4" s="242"/>
      <c r="AH4" s="243"/>
      <c r="AI4" s="244"/>
      <c r="AJ4" s="245"/>
      <c r="AK4" s="246"/>
      <c r="AL4" s="247"/>
      <c r="AM4" s="248"/>
      <c r="AN4" s="249">
        <v>1500.0</v>
      </c>
      <c r="AO4" s="231"/>
      <c r="AP4" s="250"/>
      <c r="AQ4" s="251">
        <v>2500.0</v>
      </c>
      <c r="AR4" s="252"/>
      <c r="AS4" s="253"/>
      <c r="AT4" s="136"/>
      <c r="AU4" s="253"/>
    </row>
    <row r="5">
      <c r="B5" s="169">
        <v>45740.0</v>
      </c>
      <c r="C5" s="108">
        <v>15.0</v>
      </c>
      <c r="D5" s="142">
        <v>10000.0</v>
      </c>
      <c r="E5" s="174" t="s">
        <v>69</v>
      </c>
      <c r="F5" s="171"/>
      <c r="G5" s="99" t="s">
        <v>57</v>
      </c>
      <c r="H5" s="100">
        <v>45743.0</v>
      </c>
      <c r="I5" s="108">
        <f t="shared" ref="I5:J5" si="4">X5+Z5+AB5+AD5+AF5+AH5+AJ5+AL5+AN5+AP5+AR5+AT5</f>
        <v>1200</v>
      </c>
      <c r="J5" s="113">
        <f t="shared" si="4"/>
        <v>0</v>
      </c>
      <c r="K5" s="36"/>
      <c r="L5" s="31" t="s">
        <v>12</v>
      </c>
      <c r="M5" s="102">
        <f t="array" ref="M5">N5 - sum(J4:J39) + sum(IF((E4:E39="S_A/C--&gt;bKash")+(E4:E39="givenLend--&gt;bKash")+(E4:E39="Cash--&gt;bKash")+(E4:E39="takenLend--&gt;bKash")+(E4:E39="add--&gt;bKash"), D4:D39, 0)) - sum(IF((E4:E39="bKash--&gt;givenLend")+(E4:E39="bKash--&gt;Cash")+(E4:E39="bKash--&gt;takenLend"), D4:D39, 0))
</f>
        <v>314</v>
      </c>
      <c r="N5" s="103">
        <f>'March 25'!L6</f>
        <v>4952</v>
      </c>
      <c r="P5" s="31" t="s">
        <v>49</v>
      </c>
      <c r="Q5" s="111">
        <v>10000.0</v>
      </c>
      <c r="R5" s="33">
        <f>sum(AL4:AL39)+sum(AM4:AM39)</f>
        <v>17190</v>
      </c>
      <c r="S5" s="34">
        <f t="shared" si="5"/>
        <v>-7190</v>
      </c>
      <c r="U5" s="230">
        <f t="shared" ref="U5:V5" si="6">X5+Z5+AB5+AD5+AF5+AH5+AJ5+AL5+AN5+AP5+AR5+AT5</f>
        <v>1200</v>
      </c>
      <c r="V5" s="231">
        <f t="shared" si="6"/>
        <v>0</v>
      </c>
      <c r="W5" s="232" t="str">
        <f t="shared" si="7"/>
        <v>27/03/25</v>
      </c>
      <c r="X5" s="254"/>
      <c r="Y5" s="255"/>
      <c r="Z5" s="235">
        <f>15+15+15</f>
        <v>45</v>
      </c>
      <c r="AA5" s="236"/>
      <c r="AB5" s="256">
        <f>300+45</f>
        <v>345</v>
      </c>
      <c r="AC5" s="238"/>
      <c r="AD5" s="257">
        <v>10.0</v>
      </c>
      <c r="AE5" s="240"/>
      <c r="AF5" s="241"/>
      <c r="AG5" s="242"/>
      <c r="AH5" s="243"/>
      <c r="AI5" s="244"/>
      <c r="AJ5" s="245">
        <f>200+120+120</f>
        <v>440</v>
      </c>
      <c r="AK5" s="246"/>
      <c r="AL5" s="258">
        <f>300</f>
        <v>300</v>
      </c>
      <c r="AM5" s="248"/>
      <c r="AN5" s="230"/>
      <c r="AO5" s="231"/>
      <c r="AP5" s="250"/>
      <c r="AQ5" s="259"/>
      <c r="AR5" s="252">
        <f>20+40</f>
        <v>60</v>
      </c>
      <c r="AS5" s="253"/>
      <c r="AT5" s="136"/>
      <c r="AU5" s="253"/>
    </row>
    <row r="6">
      <c r="B6" s="169">
        <v>45741.0</v>
      </c>
      <c r="C6" s="108"/>
      <c r="D6" s="108">
        <v>129.0</v>
      </c>
      <c r="E6" s="174" t="s">
        <v>98</v>
      </c>
      <c r="F6" s="171"/>
      <c r="G6" s="177" t="s">
        <v>60</v>
      </c>
      <c r="H6" s="260">
        <v>45744.0</v>
      </c>
      <c r="I6" s="261">
        <f t="shared" ref="I6:J6" si="8">X6+Z6+AB6+AD6+AF6+AH6+AJ6+AL6+AN6+AP6+AR6+AT6</f>
        <v>9145</v>
      </c>
      <c r="J6" s="262">
        <f t="shared" si="8"/>
        <v>200</v>
      </c>
      <c r="K6" s="43"/>
      <c r="L6" s="114" t="s">
        <v>51</v>
      </c>
      <c r="M6" s="115">
        <f t="array" ref="M6">N6 - sum(I4:I39) + sum(IF((E4:E39="S_A/C--&gt;Cash")+(E4:E39="givenLend--&gt;Cash")+(E4:E39="bKash--&gt;Cash")+(E4:E39="takenLend--&gt;Cash")+(E4:E39="add--&gt;Cash")+(E4:E39="Nagad--&gt;Cash"), D4:D39, 0)) - sum(IF((E4:E39="Cash--&gt;takenLend")+(E4:E39="Cash--&gt;givenLend")+(E4:E39="Cash--&gt;bKash")+(E4:E39="Cash--&gt;SonaliBU"), D4:D39, 0))
</f>
        <v>3758</v>
      </c>
      <c r="N6" s="116">
        <f>'March 25'!L7</f>
        <v>-610</v>
      </c>
      <c r="P6" s="31" t="s">
        <v>52</v>
      </c>
      <c r="Q6" s="111">
        <f>7000+1500</f>
        <v>8500</v>
      </c>
      <c r="R6" s="33">
        <f>sum(AN4:AN39)+sum(AO4:AO39)</f>
        <v>8500</v>
      </c>
      <c r="S6" s="34">
        <f t="shared" si="5"/>
        <v>0</v>
      </c>
      <c r="U6" s="230">
        <f t="shared" ref="U6:V6" si="9">X6+Z6+AB6+AD6+AF6+AH6+AJ6+AL6+AN6+AP6+AR6+AT6</f>
        <v>9145</v>
      </c>
      <c r="V6" s="231">
        <f t="shared" si="9"/>
        <v>200</v>
      </c>
      <c r="W6" s="232" t="str">
        <f t="shared" si="7"/>
        <v>28/03/25</v>
      </c>
      <c r="X6" s="254"/>
      <c r="Y6" s="255"/>
      <c r="Z6" s="235">
        <f>160+35</f>
        <v>195</v>
      </c>
      <c r="AA6" s="236"/>
      <c r="AB6" s="237"/>
      <c r="AC6" s="238"/>
      <c r="AD6" s="239"/>
      <c r="AE6" s="240"/>
      <c r="AF6" s="241"/>
      <c r="AG6" s="263">
        <v>200.0</v>
      </c>
      <c r="AH6" s="264">
        <v>20.0</v>
      </c>
      <c r="AI6" s="244"/>
      <c r="AJ6" s="245"/>
      <c r="AK6" s="246"/>
      <c r="AL6" s="258">
        <f>140+400+7000</f>
        <v>7540</v>
      </c>
      <c r="AM6" s="248"/>
      <c r="AN6" s="230"/>
      <c r="AO6" s="231"/>
      <c r="AP6" s="250"/>
      <c r="AQ6" s="259"/>
      <c r="AR6" s="252">
        <f>90+100+200+1000</f>
        <v>1390</v>
      </c>
      <c r="AS6" s="253"/>
      <c r="AT6" s="136"/>
      <c r="AU6" s="253"/>
    </row>
    <row r="7">
      <c r="B7" s="169">
        <v>45741.0</v>
      </c>
      <c r="C7" s="142"/>
      <c r="D7" s="142">
        <v>2500.0</v>
      </c>
      <c r="E7" s="174" t="s">
        <v>71</v>
      </c>
      <c r="F7" s="171"/>
      <c r="G7" s="177" t="s">
        <v>64</v>
      </c>
      <c r="H7" s="260">
        <v>45745.0</v>
      </c>
      <c r="I7" s="261">
        <f t="shared" ref="I7:J7" si="10">X7+Z7+AB7+AD7+AF7+AH7+AJ7+AL7+AN7+AP7+AR7+AT7</f>
        <v>1000</v>
      </c>
      <c r="J7" s="262">
        <f t="shared" si="10"/>
        <v>1400</v>
      </c>
      <c r="K7" s="43"/>
      <c r="L7" s="117" t="s">
        <v>55</v>
      </c>
      <c r="M7" s="118">
        <f t="array" ref="M7">N7 + sum(IF((E4:E39="bKash--&gt;givenLend")+(E4:E39="Cash--&gt;givenLend")+(E4:E39="SonaliBU--&gt;givenLend"), D4:D39, 0)) - sum(IF((E4:E39="givenLend--&gt;bKash")+(E4:E39="givenLend--&gt;Cash")+(E4:E39="givenLend--&gt;SonaliBU")+(E4:E39="givenLend--&gt;Nagad"), D4:D39, 0))</f>
        <v>2500</v>
      </c>
      <c r="N7" s="103">
        <f>'March 25'!L8</f>
        <v>1000</v>
      </c>
      <c r="P7" s="31" t="s">
        <v>56</v>
      </c>
      <c r="Q7" s="111">
        <v>10000.0</v>
      </c>
      <c r="R7" s="42">
        <f>sum(AH4:AH39)+sum(AI4:AI39)</f>
        <v>4984</v>
      </c>
      <c r="S7" s="34">
        <f t="shared" si="5"/>
        <v>5016</v>
      </c>
      <c r="U7" s="230">
        <f t="shared" ref="U7:V7" si="11">X7+Z7+AB7+AD7+AF7+AH7+AJ7+AL7+AN7+AP7+AR7+AT7</f>
        <v>1000</v>
      </c>
      <c r="V7" s="231">
        <f t="shared" si="11"/>
        <v>1400</v>
      </c>
      <c r="W7" s="232" t="str">
        <f t="shared" si="7"/>
        <v>29/03/25</v>
      </c>
      <c r="X7" s="254"/>
      <c r="Y7" s="255"/>
      <c r="Z7" s="235"/>
      <c r="AA7" s="236"/>
      <c r="AB7" s="237"/>
      <c r="AC7" s="238"/>
      <c r="AD7" s="239"/>
      <c r="AE7" s="240"/>
      <c r="AF7" s="241"/>
      <c r="AG7" s="263"/>
      <c r="AH7" s="243"/>
      <c r="AI7" s="244"/>
      <c r="AJ7" s="245"/>
      <c r="AK7" s="265">
        <v>1400.0</v>
      </c>
      <c r="AL7" s="247">
        <v>1000.0</v>
      </c>
      <c r="AM7" s="248"/>
      <c r="AN7" s="230"/>
      <c r="AO7" s="231"/>
      <c r="AP7" s="250"/>
      <c r="AQ7" s="259"/>
      <c r="AR7" s="252"/>
      <c r="AS7" s="253"/>
      <c r="AT7" s="136"/>
      <c r="AU7" s="253"/>
    </row>
    <row r="8">
      <c r="B8" s="169">
        <v>45742.0</v>
      </c>
      <c r="C8" s="108"/>
      <c r="D8" s="108">
        <v>1000.0</v>
      </c>
      <c r="E8" s="174" t="s">
        <v>99</v>
      </c>
      <c r="F8" s="171"/>
      <c r="G8" s="99" t="s">
        <v>45</v>
      </c>
      <c r="H8" s="100">
        <v>45746.0</v>
      </c>
      <c r="I8" s="108">
        <f t="shared" ref="I8:J8" si="12">X8+Z8+AB8+AD8+AF8+AH8+AJ8+AL8+AN8+AP8+AR8+AT8</f>
        <v>0</v>
      </c>
      <c r="J8" s="113">
        <f t="shared" si="12"/>
        <v>208</v>
      </c>
      <c r="K8" s="175"/>
      <c r="L8" s="120" t="s">
        <v>58</v>
      </c>
      <c r="M8" s="121">
        <f t="array" ref="M8">N8 + sum(IF((E4:E39="takenLend--&gt;Cash")+(E4:E39="takenLend--&gt;bKash"), D4:D39, 0)) - sum(IF((E4:E39="Cash--&gt;takenLend")+(E4:E39="bKash--&gt;takenLend"), D4:D39, 0))</f>
        <v>0</v>
      </c>
      <c r="N8" s="103">
        <f>'March 25'!L9</f>
        <v>0</v>
      </c>
      <c r="P8" s="31" t="s">
        <v>59</v>
      </c>
      <c r="Q8" s="111">
        <v>1200.0</v>
      </c>
      <c r="R8" s="42">
        <f>sum(AF4:AF39)+sum(AG4:AG39)</f>
        <v>1597</v>
      </c>
      <c r="S8" s="34">
        <f t="shared" si="5"/>
        <v>-397</v>
      </c>
      <c r="U8" s="230">
        <f t="shared" ref="U8:V8" si="13">X8+Z8+AB8+AD8+AF8+AH8+AJ8+AL8+AN8+AP8+AR8+AT8</f>
        <v>0</v>
      </c>
      <c r="V8" s="231">
        <f t="shared" si="13"/>
        <v>208</v>
      </c>
      <c r="W8" s="232" t="str">
        <f t="shared" si="7"/>
        <v>30/03/25</v>
      </c>
      <c r="X8" s="254"/>
      <c r="Y8" s="255"/>
      <c r="Z8" s="235"/>
      <c r="AA8" s="236"/>
      <c r="AB8" s="237"/>
      <c r="AC8" s="238"/>
      <c r="AD8" s="239"/>
      <c r="AE8" s="240"/>
      <c r="AF8" s="241"/>
      <c r="AG8" s="263">
        <v>208.0</v>
      </c>
      <c r="AH8" s="243"/>
      <c r="AI8" s="244"/>
      <c r="AJ8" s="245"/>
      <c r="AK8" s="246"/>
      <c r="AL8" s="258"/>
      <c r="AM8" s="248"/>
      <c r="AN8" s="230"/>
      <c r="AO8" s="231"/>
      <c r="AP8" s="250"/>
      <c r="AQ8" s="259"/>
      <c r="AR8" s="252"/>
      <c r="AS8" s="253"/>
      <c r="AT8" s="136"/>
      <c r="AU8" s="253"/>
    </row>
    <row r="9">
      <c r="B9" s="148">
        <v>45742.0</v>
      </c>
      <c r="C9" s="108"/>
      <c r="D9" s="108">
        <v>1120.0</v>
      </c>
      <c r="E9" s="174" t="s">
        <v>98</v>
      </c>
      <c r="F9" s="176"/>
      <c r="G9" s="99" t="s">
        <v>48</v>
      </c>
      <c r="H9" s="100">
        <v>45747.0</v>
      </c>
      <c r="I9" s="123">
        <f t="shared" ref="I9:J9" si="14">X9+Z9+AB9+AD9+AF9+AH9+AJ9+AL9+AN9+AP9+AR9+AT9</f>
        <v>0</v>
      </c>
      <c r="J9" s="149">
        <f t="shared" si="14"/>
        <v>100</v>
      </c>
      <c r="K9" s="36"/>
      <c r="L9" s="31" t="s">
        <v>89</v>
      </c>
      <c r="M9" s="102">
        <f t="array" ref="M9">N9 + sum(IF((E4:E39="S_A/C--&gt;SonaliBU")+(E4:E39="givenLend--&gt;SonaliBU")+(E4:E39="Cash--&gt;SonaliBU"), D4:D39, 0)) - sum(IF((E4:E39="SonaliBU--&gt;givenLend"), D4:D39, 0))</f>
        <v>5290</v>
      </c>
      <c r="N9" s="103">
        <f>'March 25'!L10</f>
        <v>290</v>
      </c>
      <c r="P9" s="179" t="s">
        <v>62</v>
      </c>
      <c r="Q9" s="180">
        <v>2500.0</v>
      </c>
      <c r="R9" s="181">
        <f>sum(AP4:AP39)+sum(AQ4:AQ39)</f>
        <v>2500</v>
      </c>
      <c r="S9" s="182">
        <f t="shared" si="5"/>
        <v>0</v>
      </c>
      <c r="U9" s="230">
        <f t="shared" ref="U9:V9" si="15">X9+Z9+AB9+AD9+AF9+AH9+AJ9+AL9+AN9+AP9+AR9+AT9</f>
        <v>0</v>
      </c>
      <c r="V9" s="231">
        <f t="shared" si="15"/>
        <v>100</v>
      </c>
      <c r="W9" s="266" t="str">
        <f t="shared" si="7"/>
        <v>31/03/25</v>
      </c>
      <c r="X9" s="267"/>
      <c r="Y9" s="268"/>
      <c r="Z9" s="269"/>
      <c r="AA9" s="270"/>
      <c r="AB9" s="271"/>
      <c r="AC9" s="272"/>
      <c r="AD9" s="273"/>
      <c r="AE9" s="274"/>
      <c r="AF9" s="275"/>
      <c r="AG9" s="276"/>
      <c r="AH9" s="277"/>
      <c r="AI9" s="278">
        <v>100.0</v>
      </c>
      <c r="AJ9" s="279"/>
      <c r="AK9" s="280"/>
      <c r="AL9" s="281"/>
      <c r="AM9" s="282"/>
      <c r="AN9" s="283"/>
      <c r="AO9" s="284"/>
      <c r="AP9" s="285"/>
      <c r="AQ9" s="286"/>
      <c r="AR9" s="287"/>
      <c r="AS9" s="288"/>
      <c r="AT9" s="289"/>
      <c r="AU9" s="288"/>
    </row>
    <row r="10">
      <c r="B10" s="169">
        <v>45742.0</v>
      </c>
      <c r="C10" s="142"/>
      <c r="D10" s="142">
        <v>5000.0</v>
      </c>
      <c r="E10" s="174" t="s">
        <v>100</v>
      </c>
      <c r="F10" s="176"/>
      <c r="G10" s="99" t="s">
        <v>50</v>
      </c>
      <c r="H10" s="100">
        <v>45748.0</v>
      </c>
      <c r="I10" s="108">
        <f t="shared" ref="I10:J10" si="16">X10+Z10+AB10+AD10+AF10+AH10+AJ10+AL10+AN10+AP10+AR10+AT10</f>
        <v>8385</v>
      </c>
      <c r="J10" s="113">
        <f t="shared" si="16"/>
        <v>0</v>
      </c>
      <c r="K10" s="36"/>
      <c r="L10" s="62" t="s">
        <v>91</v>
      </c>
      <c r="M10" s="102">
        <f>N10</f>
        <v>507</v>
      </c>
      <c r="N10" s="103">
        <f>'March 25'!L11</f>
        <v>507</v>
      </c>
      <c r="P10" s="31" t="s">
        <v>66</v>
      </c>
      <c r="Q10" s="10">
        <v>0.0</v>
      </c>
      <c r="R10" s="47"/>
      <c r="S10" s="48">
        <f t="shared" si="5"/>
        <v>0</v>
      </c>
      <c r="U10" s="230">
        <f t="shared" ref="U10:V10" si="17">X10+Z10+AB10+AD10+AF10+AH10+AJ10+AL10+AN10+AP10+AR10+AT10</f>
        <v>8385</v>
      </c>
      <c r="V10" s="231">
        <f t="shared" si="17"/>
        <v>0</v>
      </c>
      <c r="W10" s="232" t="str">
        <f t="shared" si="7"/>
        <v>01/04/25</v>
      </c>
      <c r="X10" s="254"/>
      <c r="Y10" s="255"/>
      <c r="Z10" s="290">
        <v>35.0</v>
      </c>
      <c r="AA10" s="236"/>
      <c r="AB10" s="237"/>
      <c r="AC10" s="238"/>
      <c r="AD10" s="239"/>
      <c r="AE10" s="240"/>
      <c r="AF10" s="241"/>
      <c r="AG10" s="242"/>
      <c r="AH10" s="243"/>
      <c r="AI10" s="244"/>
      <c r="AJ10" s="245"/>
      <c r="AK10" s="246"/>
      <c r="AL10" s="258">
        <f>5000+3350</f>
        <v>8350</v>
      </c>
      <c r="AM10" s="248"/>
      <c r="AN10" s="230"/>
      <c r="AO10" s="231"/>
      <c r="AP10" s="250"/>
      <c r="AQ10" s="259"/>
      <c r="AR10" s="252"/>
      <c r="AS10" s="253"/>
      <c r="AT10" s="136"/>
      <c r="AU10" s="253"/>
    </row>
    <row r="11">
      <c r="B11" s="174" t="s">
        <v>101</v>
      </c>
      <c r="C11" s="108">
        <v>15.0</v>
      </c>
      <c r="D11" s="142">
        <v>10000.0</v>
      </c>
      <c r="E11" s="174" t="s">
        <v>69</v>
      </c>
      <c r="F11" s="171"/>
      <c r="G11" s="99" t="s">
        <v>54</v>
      </c>
      <c r="H11" s="100">
        <v>45749.0</v>
      </c>
      <c r="I11" s="108">
        <f t="shared" ref="I11:J11" si="18">X11+Z11+AB11+AD11+AF11+AH11+AJ11+AL11+AN11+AP11+AR11+AT11</f>
        <v>0</v>
      </c>
      <c r="J11" s="113">
        <f t="shared" si="18"/>
        <v>0</v>
      </c>
      <c r="K11" s="36"/>
      <c r="L11" s="31" t="s">
        <v>65</v>
      </c>
      <c r="M11" s="102">
        <f t="array" ref="M11">N11 + sum(IF((E4:E39="givenLend--&gt;Nagad"), D4:D39, 0)) - sum(IF((E4:E39="Nagad--&gt;Cash"), D4:D39, 0)) - - sum(IF((E4:E39="Nagad--&gt;Cash"), C4:C39, 0))</f>
        <v>800</v>
      </c>
      <c r="N11" s="103" t="str">
        <f>'March 25'!L12</f>
        <v/>
      </c>
      <c r="P11" s="31" t="s">
        <v>68</v>
      </c>
      <c r="Q11" s="10">
        <v>1000.0</v>
      </c>
      <c r="R11" s="42">
        <f>sum(AD4:AD39)+sum(AE4:AE39)</f>
        <v>355</v>
      </c>
      <c r="S11" s="48">
        <f t="shared" si="5"/>
        <v>645</v>
      </c>
      <c r="U11" s="230">
        <f t="shared" ref="U11:V11" si="19">X11+Z11+AB11+AD11+AF11+AH11+AJ11+AL11+AN11+AP11+AR11+AT11</f>
        <v>0</v>
      </c>
      <c r="V11" s="231">
        <f t="shared" si="19"/>
        <v>0</v>
      </c>
      <c r="W11" s="232" t="str">
        <f t="shared" si="7"/>
        <v>02/04/25</v>
      </c>
      <c r="X11" s="254"/>
      <c r="Y11" s="255"/>
      <c r="Z11" s="235"/>
      <c r="AA11" s="236"/>
      <c r="AB11" s="237"/>
      <c r="AC11" s="238"/>
      <c r="AD11" s="239"/>
      <c r="AE11" s="240"/>
      <c r="AF11" s="241"/>
      <c r="AG11" s="242"/>
      <c r="AH11" s="243"/>
      <c r="AI11" s="244"/>
      <c r="AJ11" s="245"/>
      <c r="AK11" s="246"/>
      <c r="AL11" s="258"/>
      <c r="AM11" s="248"/>
      <c r="AN11" s="230"/>
      <c r="AO11" s="231"/>
      <c r="AP11" s="250"/>
      <c r="AQ11" s="259"/>
      <c r="AR11" s="252"/>
      <c r="AS11" s="253"/>
      <c r="AT11" s="136"/>
      <c r="AU11" s="253"/>
    </row>
    <row r="12">
      <c r="B12" s="174"/>
      <c r="C12" s="108">
        <v>15.0</v>
      </c>
      <c r="D12" s="108">
        <v>3000.0</v>
      </c>
      <c r="E12" s="174" t="s">
        <v>69</v>
      </c>
      <c r="F12" s="171"/>
      <c r="G12" s="99" t="s">
        <v>57</v>
      </c>
      <c r="H12" s="100">
        <v>45750.0</v>
      </c>
      <c r="I12" s="108">
        <f t="shared" ref="I12:J12" si="20">X12+Z12+AB12+AD12+AF12+AH12+AJ12+AL12+AN12+AP12+AR12+AT12</f>
        <v>0</v>
      </c>
      <c r="J12" s="113">
        <f t="shared" si="20"/>
        <v>0</v>
      </c>
      <c r="K12" s="36"/>
      <c r="L12" s="153"/>
      <c r="M12" s="154"/>
      <c r="N12" s="134" t="str">
        <f>'March 25'!L13</f>
        <v/>
      </c>
      <c r="P12" s="31" t="s">
        <v>70</v>
      </c>
      <c r="Q12" s="10">
        <v>800.0</v>
      </c>
      <c r="R12" s="47">
        <f>sum(AB4:AB39)+sum(AC4:AC39)</f>
        <v>2020</v>
      </c>
      <c r="S12" s="48">
        <f t="shared" si="5"/>
        <v>-1220</v>
      </c>
      <c r="U12" s="230">
        <f t="shared" ref="U12:V12" si="21">X12+Z12+AB12+AD12+AF12+AH12+AJ12+AL12+AN12+AP12+AR12+AT12</f>
        <v>0</v>
      </c>
      <c r="V12" s="231">
        <f t="shared" si="21"/>
        <v>0</v>
      </c>
      <c r="W12" s="232" t="str">
        <f t="shared" si="7"/>
        <v>03/04/25</v>
      </c>
      <c r="X12" s="254"/>
      <c r="Y12" s="255"/>
      <c r="Z12" s="235"/>
      <c r="AA12" s="236"/>
      <c r="AB12" s="237"/>
      <c r="AC12" s="238"/>
      <c r="AD12" s="239"/>
      <c r="AE12" s="240"/>
      <c r="AF12" s="241"/>
      <c r="AG12" s="242"/>
      <c r="AH12" s="243"/>
      <c r="AI12" s="244"/>
      <c r="AJ12" s="245"/>
      <c r="AK12" s="246"/>
      <c r="AL12" s="258"/>
      <c r="AM12" s="248"/>
      <c r="AN12" s="230"/>
      <c r="AO12" s="231"/>
      <c r="AP12" s="250"/>
      <c r="AQ12" s="259"/>
      <c r="AR12" s="252"/>
      <c r="AS12" s="253"/>
      <c r="AT12" s="136"/>
      <c r="AU12" s="253"/>
    </row>
    <row r="13">
      <c r="B13" s="174"/>
      <c r="C13" s="108">
        <v>15.0</v>
      </c>
      <c r="D13" s="108">
        <v>3000.0</v>
      </c>
      <c r="E13" s="174" t="s">
        <v>69</v>
      </c>
      <c r="F13" s="171"/>
      <c r="G13" s="177" t="s">
        <v>60</v>
      </c>
      <c r="H13" s="260">
        <v>45751.0</v>
      </c>
      <c r="I13" s="261">
        <f t="shared" ref="I13:J13" si="22">X13+Z13+AB13+AD13+AF13+AH13+AJ13+AL13+AN13+AP13+AR13+AT13</f>
        <v>0</v>
      </c>
      <c r="J13" s="262">
        <f t="shared" si="22"/>
        <v>0</v>
      </c>
      <c r="K13" s="36"/>
      <c r="P13" s="31" t="s">
        <v>73</v>
      </c>
      <c r="Q13" s="10">
        <v>2000.0</v>
      </c>
      <c r="R13" s="47">
        <f>sum(AJ4:AJ39)+sum(AK4:AK39)</f>
        <v>10420</v>
      </c>
      <c r="S13" s="48">
        <f t="shared" si="5"/>
        <v>-8420</v>
      </c>
      <c r="U13" s="230">
        <f t="shared" ref="U13:V13" si="23">X13+Z13+AB13+AD13+AF13+AH13+AJ13+AL13+AN13+AP13+AR13+AT13</f>
        <v>0</v>
      </c>
      <c r="V13" s="231">
        <f t="shared" si="23"/>
        <v>0</v>
      </c>
      <c r="W13" s="232" t="str">
        <f t="shared" si="7"/>
        <v>04/04/25</v>
      </c>
      <c r="X13" s="254"/>
      <c r="Y13" s="255"/>
      <c r="Z13" s="235"/>
      <c r="AA13" s="236"/>
      <c r="AB13" s="237"/>
      <c r="AC13" s="238"/>
      <c r="AD13" s="239"/>
      <c r="AE13" s="240"/>
      <c r="AF13" s="241"/>
      <c r="AG13" s="242"/>
      <c r="AH13" s="243"/>
      <c r="AI13" s="244"/>
      <c r="AJ13" s="245"/>
      <c r="AK13" s="246"/>
      <c r="AL13" s="258"/>
      <c r="AM13" s="248"/>
      <c r="AN13" s="230"/>
      <c r="AO13" s="231"/>
      <c r="AP13" s="250"/>
      <c r="AQ13" s="259"/>
      <c r="AR13" s="252"/>
      <c r="AS13" s="253"/>
      <c r="AT13" s="136"/>
      <c r="AU13" s="253"/>
    </row>
    <row r="14">
      <c r="B14" s="174"/>
      <c r="C14" s="108">
        <v>15.0</v>
      </c>
      <c r="D14" s="108">
        <v>10000.0</v>
      </c>
      <c r="E14" s="174" t="s">
        <v>69</v>
      </c>
      <c r="F14" s="171"/>
      <c r="G14" s="177" t="s">
        <v>64</v>
      </c>
      <c r="H14" s="260">
        <v>45752.0</v>
      </c>
      <c r="I14" s="261">
        <f t="shared" ref="I14:J14" si="24">X14+Z14+AB14+AD14+AF14+AH14+AJ14+AL14+AN14+AP14+AR14+AT14</f>
        <v>0</v>
      </c>
      <c r="J14" s="262">
        <f t="shared" si="24"/>
        <v>1030</v>
      </c>
      <c r="K14" s="36"/>
      <c r="L14" s="137" t="s">
        <v>72</v>
      </c>
      <c r="M14" s="86"/>
      <c r="N14" s="138">
        <f>sum(N16:N21)</f>
        <v>2500</v>
      </c>
      <c r="P14" s="31" t="s">
        <v>75</v>
      </c>
      <c r="Q14" s="10">
        <v>1000.0</v>
      </c>
      <c r="R14" s="47">
        <f>sum(Z4:Z39)+sum(AA4:AA39)</f>
        <v>2252</v>
      </c>
      <c r="S14" s="48">
        <f t="shared" si="5"/>
        <v>-1252</v>
      </c>
      <c r="U14" s="230">
        <f t="shared" ref="U14:V14" si="25">X14+Z14+AB14+AD14+AF14+AH14+AJ14+AL14+AN14+AP14+AR14+AT14</f>
        <v>0</v>
      </c>
      <c r="V14" s="231">
        <f t="shared" si="25"/>
        <v>1030</v>
      </c>
      <c r="W14" s="232" t="str">
        <f t="shared" si="7"/>
        <v>05/04/25</v>
      </c>
      <c r="X14" s="254"/>
      <c r="Y14" s="255"/>
      <c r="Z14" s="235"/>
      <c r="AA14" s="236"/>
      <c r="AB14" s="237"/>
      <c r="AC14" s="238"/>
      <c r="AD14" s="239"/>
      <c r="AE14" s="240"/>
      <c r="AF14" s="241"/>
      <c r="AG14" s="242"/>
      <c r="AH14" s="243"/>
      <c r="AI14" s="244">
        <f>460+560+5+5</f>
        <v>1030</v>
      </c>
      <c r="AJ14" s="245"/>
      <c r="AK14" s="246"/>
      <c r="AL14" s="258"/>
      <c r="AM14" s="248"/>
      <c r="AN14" s="230"/>
      <c r="AO14" s="231"/>
      <c r="AP14" s="250"/>
      <c r="AQ14" s="259"/>
      <c r="AR14" s="252"/>
      <c r="AS14" s="253"/>
      <c r="AT14" s="136"/>
      <c r="AU14" s="253"/>
    </row>
    <row r="15">
      <c r="B15" s="174"/>
      <c r="C15" s="108">
        <v>0.0</v>
      </c>
      <c r="D15" s="108">
        <v>2500.0</v>
      </c>
      <c r="E15" s="174" t="s">
        <v>69</v>
      </c>
      <c r="F15" s="171"/>
      <c r="G15" s="99" t="s">
        <v>45</v>
      </c>
      <c r="H15" s="100">
        <v>45753.0</v>
      </c>
      <c r="I15" s="108">
        <f t="shared" ref="I15:J15" si="26">X15+Z15+AB15+AD15+AF15+AH15+AJ15+AL15+AN15+AP15+AR15+AT15</f>
        <v>115</v>
      </c>
      <c r="J15" s="113">
        <f t="shared" si="26"/>
        <v>0</v>
      </c>
      <c r="K15" s="36"/>
      <c r="L15" s="139" t="s">
        <v>6</v>
      </c>
      <c r="M15" s="140" t="s">
        <v>74</v>
      </c>
      <c r="N15" s="141" t="s">
        <v>35</v>
      </c>
      <c r="P15" s="62" t="s">
        <v>78</v>
      </c>
      <c r="Q15" s="10">
        <v>0.0</v>
      </c>
      <c r="S15" s="48">
        <f t="shared" si="5"/>
        <v>0</v>
      </c>
      <c r="U15" s="230">
        <f t="shared" ref="U15:V15" si="27">X15+Z15+AB15+AD15+AF15+AH15+AJ15+AL15+AN15+AP15+AR15+AT15</f>
        <v>115</v>
      </c>
      <c r="V15" s="231">
        <f t="shared" si="27"/>
        <v>0</v>
      </c>
      <c r="W15" s="232" t="str">
        <f t="shared" si="7"/>
        <v>06/04/25</v>
      </c>
      <c r="X15" s="254"/>
      <c r="Y15" s="255"/>
      <c r="Z15" s="290">
        <v>5.0</v>
      </c>
      <c r="AA15" s="236"/>
      <c r="AB15" s="237"/>
      <c r="AC15" s="238"/>
      <c r="AD15" s="257">
        <v>110.0</v>
      </c>
      <c r="AE15" s="240"/>
      <c r="AF15" s="241"/>
      <c r="AG15" s="242"/>
      <c r="AH15" s="243"/>
      <c r="AI15" s="244"/>
      <c r="AJ15" s="245"/>
      <c r="AK15" s="246"/>
      <c r="AL15" s="258"/>
      <c r="AM15" s="248"/>
      <c r="AN15" s="230"/>
      <c r="AO15" s="231"/>
      <c r="AP15" s="250"/>
      <c r="AQ15" s="259"/>
      <c r="AR15" s="252"/>
      <c r="AS15" s="253"/>
      <c r="AT15" s="136"/>
      <c r="AU15" s="253"/>
    </row>
    <row r="16">
      <c r="B16" s="169">
        <v>45722.0</v>
      </c>
      <c r="C16" s="142">
        <v>0.0</v>
      </c>
      <c r="D16" s="142">
        <v>1000.0</v>
      </c>
      <c r="E16" s="174" t="s">
        <v>102</v>
      </c>
      <c r="F16" s="176"/>
      <c r="G16" s="99" t="s">
        <v>48</v>
      </c>
      <c r="H16" s="100">
        <v>45754.0</v>
      </c>
      <c r="I16" s="108">
        <f t="shared" ref="I16:J16" si="28">X16+Z16+AB16+AD16+AF16+AH16+AJ16+AL16+AN16+AP16+AR16+AT16</f>
        <v>150</v>
      </c>
      <c r="J16" s="113">
        <f t="shared" si="28"/>
        <v>0</v>
      </c>
      <c r="K16" s="36"/>
      <c r="L16" s="143">
        <v>45774.0</v>
      </c>
      <c r="M16" s="132" t="s">
        <v>103</v>
      </c>
      <c r="N16" s="103">
        <f>1500+1000</f>
        <v>2500</v>
      </c>
      <c r="P16" s="144" t="s">
        <v>80</v>
      </c>
      <c r="Q16" s="183">
        <v>1500.0</v>
      </c>
      <c r="R16" s="146">
        <f>sum(AR4:AR39)+sum(AS4:AS39)</f>
        <v>1460</v>
      </c>
      <c r="S16" s="147">
        <f t="shared" si="5"/>
        <v>40</v>
      </c>
      <c r="U16" s="230">
        <f t="shared" ref="U16:V16" si="29">X16+Z16+AB16+AD16+AF16+AH16+AJ16+AL16+AN16+AP16+AR16+AT16</f>
        <v>150</v>
      </c>
      <c r="V16" s="231">
        <f t="shared" si="29"/>
        <v>0</v>
      </c>
      <c r="W16" s="232" t="str">
        <f t="shared" si="7"/>
        <v>07/04/25</v>
      </c>
      <c r="X16" s="233">
        <v>135.0</v>
      </c>
      <c r="Y16" s="255"/>
      <c r="Z16" s="290">
        <v>15.0</v>
      </c>
      <c r="AA16" s="236"/>
      <c r="AB16" s="237"/>
      <c r="AC16" s="238"/>
      <c r="AD16" s="239"/>
      <c r="AE16" s="240"/>
      <c r="AF16" s="241"/>
      <c r="AG16" s="242"/>
      <c r="AH16" s="243"/>
      <c r="AI16" s="244"/>
      <c r="AJ16" s="245"/>
      <c r="AK16" s="246"/>
      <c r="AL16" s="258"/>
      <c r="AM16" s="248"/>
      <c r="AN16" s="230"/>
      <c r="AO16" s="231"/>
      <c r="AP16" s="250"/>
      <c r="AQ16" s="259"/>
      <c r="AR16" s="252"/>
      <c r="AS16" s="253"/>
      <c r="AT16" s="136"/>
      <c r="AU16" s="253"/>
    </row>
    <row r="17">
      <c r="B17" s="169">
        <v>45722.0</v>
      </c>
      <c r="C17" s="108">
        <v>0.0</v>
      </c>
      <c r="D17" s="108">
        <v>100.0</v>
      </c>
      <c r="E17" s="174" t="s">
        <v>98</v>
      </c>
      <c r="F17" s="176"/>
      <c r="G17" s="99" t="s">
        <v>50</v>
      </c>
      <c r="H17" s="100">
        <v>45755.0</v>
      </c>
      <c r="I17" s="108">
        <f t="shared" ref="I17:J17" si="30">X17+Z17+AB17+AD17+AF17+AH17+AJ17+AL17+AN17+AP17+AR17+AT17</f>
        <v>7015</v>
      </c>
      <c r="J17" s="113">
        <f t="shared" si="30"/>
        <v>1855</v>
      </c>
      <c r="K17" s="36"/>
      <c r="L17" s="143"/>
      <c r="M17" s="132"/>
      <c r="N17" s="103"/>
      <c r="P17" s="65" t="s">
        <v>83</v>
      </c>
      <c r="Q17" s="67">
        <v>1500.0</v>
      </c>
      <c r="R17" s="67">
        <f>sum(X4:X39)+sum(Y4:Y39)</f>
        <v>1660</v>
      </c>
      <c r="S17" s="68">
        <f t="shared" si="5"/>
        <v>-160</v>
      </c>
      <c r="U17" s="230">
        <f t="shared" ref="U17:V17" si="31">X17+Z17+AB17+AD17+AF17+AH17+AJ17+AL17+AN17+AP17+AR17+AT17</f>
        <v>7015</v>
      </c>
      <c r="V17" s="231">
        <f t="shared" si="31"/>
        <v>1855</v>
      </c>
      <c r="W17" s="232" t="str">
        <f t="shared" si="7"/>
        <v>08/04/25</v>
      </c>
      <c r="X17" s="254"/>
      <c r="Y17" s="255"/>
      <c r="Z17" s="290">
        <v>15.0</v>
      </c>
      <c r="AA17" s="236"/>
      <c r="AB17" s="237"/>
      <c r="AC17" s="238"/>
      <c r="AD17" s="239"/>
      <c r="AE17" s="240"/>
      <c r="AF17" s="241"/>
      <c r="AG17" s="242"/>
      <c r="AH17" s="243"/>
      <c r="AI17" s="244">
        <f>1850+5</f>
        <v>1855</v>
      </c>
      <c r="AJ17" s="245"/>
      <c r="AK17" s="246"/>
      <c r="AL17" s="258"/>
      <c r="AM17" s="248"/>
      <c r="AN17" s="249">
        <v>7000.0</v>
      </c>
      <c r="AO17" s="231"/>
      <c r="AP17" s="250"/>
      <c r="AQ17" s="259"/>
      <c r="AR17" s="252"/>
      <c r="AS17" s="253"/>
      <c r="AT17" s="136"/>
      <c r="AU17" s="253"/>
    </row>
    <row r="18">
      <c r="B18" s="187"/>
      <c r="C18" s="112"/>
      <c r="D18" s="108">
        <v>9000.0</v>
      </c>
      <c r="E18" s="174" t="s">
        <v>97</v>
      </c>
      <c r="F18" s="171"/>
      <c r="G18" s="99" t="s">
        <v>54</v>
      </c>
      <c r="H18" s="100">
        <v>45756.0</v>
      </c>
      <c r="I18" s="108">
        <f t="shared" ref="I18:J18" si="32">X18+Z18+AB18+AD18+AF18+AH18+AJ18+AL18+AN18+AP18+AR18+AT18</f>
        <v>85</v>
      </c>
      <c r="J18" s="113">
        <f t="shared" si="32"/>
        <v>0</v>
      </c>
      <c r="K18" s="36"/>
      <c r="L18" s="148"/>
      <c r="M18" s="132"/>
      <c r="N18" s="103"/>
      <c r="U18" s="230">
        <f t="shared" ref="U18:V18" si="33">X18+Z18+AB18+AD18+AF18+AH18+AJ18+AL18+AN18+AP18+AR18+AT18</f>
        <v>85</v>
      </c>
      <c r="V18" s="231">
        <f t="shared" si="33"/>
        <v>0</v>
      </c>
      <c r="W18" s="232" t="str">
        <f t="shared" si="7"/>
        <v>09/04/25</v>
      </c>
      <c r="X18" s="233">
        <v>70.0</v>
      </c>
      <c r="Y18" s="255"/>
      <c r="Z18" s="290">
        <v>15.0</v>
      </c>
      <c r="AA18" s="236"/>
      <c r="AB18" s="237"/>
      <c r="AC18" s="238"/>
      <c r="AD18" s="239"/>
      <c r="AE18" s="240"/>
      <c r="AF18" s="241"/>
      <c r="AG18" s="242"/>
      <c r="AH18" s="243"/>
      <c r="AI18" s="244"/>
      <c r="AJ18" s="245"/>
      <c r="AK18" s="246"/>
      <c r="AL18" s="258"/>
      <c r="AM18" s="248"/>
      <c r="AN18" s="230"/>
      <c r="AO18" s="231"/>
      <c r="AP18" s="250"/>
      <c r="AQ18" s="259"/>
      <c r="AR18" s="252"/>
      <c r="AS18" s="253"/>
      <c r="AT18" s="136"/>
      <c r="AU18" s="253"/>
    </row>
    <row r="19">
      <c r="B19" s="112"/>
      <c r="C19" s="108">
        <v>15.0</v>
      </c>
      <c r="D19" s="108">
        <v>5000.0</v>
      </c>
      <c r="E19" s="174" t="s">
        <v>69</v>
      </c>
      <c r="F19" s="171"/>
      <c r="G19" s="99" t="s">
        <v>57</v>
      </c>
      <c r="H19" s="100">
        <v>45757.0</v>
      </c>
      <c r="I19" s="123">
        <f t="shared" ref="I19:J19" si="34">X19+Z19+AB19+AD19+AF19+AH19+AJ19+AL19+AN19+AP19+AR19+AT19</f>
        <v>75</v>
      </c>
      <c r="J19" s="149">
        <f t="shared" si="34"/>
        <v>0</v>
      </c>
      <c r="K19" s="36"/>
      <c r="L19" s="148"/>
      <c r="M19" s="132"/>
      <c r="N19" s="185"/>
      <c r="U19" s="230">
        <f t="shared" ref="U19:V19" si="35">X19+Z19+AB19+AD19+AF19+AH19+AJ19+AL19+AN19+AP19+AR19+AT19</f>
        <v>75</v>
      </c>
      <c r="V19" s="231">
        <f t="shared" si="35"/>
        <v>0</v>
      </c>
      <c r="W19" s="266" t="str">
        <f t="shared" si="7"/>
        <v>10/04/25</v>
      </c>
      <c r="X19" s="267"/>
      <c r="Y19" s="268"/>
      <c r="Z19" s="291">
        <f>30+45</f>
        <v>75</v>
      </c>
      <c r="AA19" s="270"/>
      <c r="AB19" s="271"/>
      <c r="AC19" s="272"/>
      <c r="AD19" s="273"/>
      <c r="AE19" s="274"/>
      <c r="AF19" s="275"/>
      <c r="AG19" s="276"/>
      <c r="AH19" s="277"/>
      <c r="AI19" s="292"/>
      <c r="AJ19" s="279"/>
      <c r="AK19" s="280"/>
      <c r="AL19" s="281"/>
      <c r="AM19" s="282"/>
      <c r="AN19" s="283"/>
      <c r="AO19" s="284"/>
      <c r="AP19" s="285"/>
      <c r="AQ19" s="286"/>
      <c r="AR19" s="287"/>
      <c r="AS19" s="288"/>
      <c r="AT19" s="289"/>
      <c r="AU19" s="288"/>
    </row>
    <row r="20">
      <c r="B20" s="186"/>
      <c r="C20" s="142">
        <v>15.0</v>
      </c>
      <c r="D20" s="142">
        <v>5000.0</v>
      </c>
      <c r="E20" s="174" t="s">
        <v>69</v>
      </c>
      <c r="F20" s="171"/>
      <c r="G20" s="177" t="s">
        <v>60</v>
      </c>
      <c r="H20" s="260">
        <v>45758.0</v>
      </c>
      <c r="I20" s="261">
        <f t="shared" ref="I20:J20" si="36">X20+Z20+AB20+AD20+AF20+AH20+AJ20+AL20+AN20+AP20+AR20+AT20</f>
        <v>440</v>
      </c>
      <c r="J20" s="262">
        <f t="shared" si="36"/>
        <v>0</v>
      </c>
      <c r="K20" s="43"/>
      <c r="L20" s="112"/>
      <c r="M20" s="102"/>
      <c r="N20" s="48"/>
      <c r="U20" s="230">
        <f t="shared" ref="U20:V20" si="37">X20+Z20+AB20+AD20+AF20+AH20+AJ20+AL20+AN20+AP20+AR20+AT20</f>
        <v>440</v>
      </c>
      <c r="V20" s="231">
        <f t="shared" si="37"/>
        <v>0</v>
      </c>
      <c r="W20" s="232" t="str">
        <f t="shared" si="7"/>
        <v>11/04/25</v>
      </c>
      <c r="X20" s="254"/>
      <c r="Y20" s="255"/>
      <c r="Z20" s="235">
        <f>15+30+15</f>
        <v>60</v>
      </c>
      <c r="AA20" s="236"/>
      <c r="AB20" s="256">
        <v>20.0</v>
      </c>
      <c r="AC20" s="238"/>
      <c r="AD20" s="239"/>
      <c r="AE20" s="240"/>
      <c r="AF20" s="241"/>
      <c r="AG20" s="242"/>
      <c r="AH20" s="264">
        <v>350.0</v>
      </c>
      <c r="AI20" s="244"/>
      <c r="AJ20" s="245"/>
      <c r="AK20" s="246"/>
      <c r="AL20" s="258"/>
      <c r="AM20" s="248"/>
      <c r="AN20" s="230"/>
      <c r="AO20" s="231"/>
      <c r="AP20" s="250"/>
      <c r="AQ20" s="259"/>
      <c r="AR20" s="293">
        <v>10.0</v>
      </c>
      <c r="AS20" s="253"/>
      <c r="AT20" s="136"/>
      <c r="AU20" s="253"/>
    </row>
    <row r="21">
      <c r="B21" s="187"/>
      <c r="C21" s="112"/>
      <c r="D21" s="108">
        <v>1000.0</v>
      </c>
      <c r="E21" s="174" t="s">
        <v>71</v>
      </c>
      <c r="F21" s="171"/>
      <c r="G21" s="177" t="s">
        <v>64</v>
      </c>
      <c r="H21" s="260">
        <v>45759.0</v>
      </c>
      <c r="I21" s="261">
        <f t="shared" ref="I21:J21" si="38">X21+Z21+AB21+AD21+AF21+AH21+AJ21+AL21+AN21+AP21+AR21+AT21</f>
        <v>130</v>
      </c>
      <c r="J21" s="262">
        <f t="shared" si="38"/>
        <v>1205</v>
      </c>
      <c r="K21" s="43"/>
      <c r="L21" s="127"/>
      <c r="M21" s="133"/>
      <c r="N21" s="68"/>
      <c r="U21" s="230">
        <f t="shared" ref="U21:V21" si="39">X21+Z21+AB21+AD21+AF21+AH21+AJ21+AL21+AN21+AP21+AR21+AT21</f>
        <v>130</v>
      </c>
      <c r="V21" s="231">
        <f t="shared" si="39"/>
        <v>1205</v>
      </c>
      <c r="W21" s="232" t="str">
        <f t="shared" si="7"/>
        <v>12/04/25</v>
      </c>
      <c r="X21" s="254"/>
      <c r="Y21" s="255"/>
      <c r="Z21" s="235">
        <f>15*4</f>
        <v>60</v>
      </c>
      <c r="AA21" s="236"/>
      <c r="AB21" s="256">
        <v>20.0</v>
      </c>
      <c r="AC21" s="238"/>
      <c r="AD21" s="257">
        <v>50.0</v>
      </c>
      <c r="AE21" s="240"/>
      <c r="AF21" s="241"/>
      <c r="AG21" s="242"/>
      <c r="AH21" s="243"/>
      <c r="AI21" s="244"/>
      <c r="AJ21" s="245"/>
      <c r="AK21" s="265">
        <v>1205.0</v>
      </c>
      <c r="AL21" s="258"/>
      <c r="AM21" s="248"/>
      <c r="AN21" s="230"/>
      <c r="AO21" s="231"/>
      <c r="AP21" s="250"/>
      <c r="AQ21" s="259"/>
      <c r="AR21" s="252"/>
      <c r="AS21" s="253"/>
      <c r="AT21" s="136"/>
      <c r="AU21" s="253"/>
    </row>
    <row r="22">
      <c r="B22" s="187"/>
      <c r="C22" s="112"/>
      <c r="D22" s="108">
        <v>200.0</v>
      </c>
      <c r="E22" s="174" t="s">
        <v>104</v>
      </c>
      <c r="F22" s="171"/>
      <c r="G22" s="99" t="s">
        <v>45</v>
      </c>
      <c r="H22" s="100">
        <v>45760.0</v>
      </c>
      <c r="I22" s="108">
        <f t="shared" ref="I22:J22" si="40">X22+Z22+AB22+AD22+AF22+AH22+AJ22+AL22+AN22+AP22+AR22+AT22</f>
        <v>45</v>
      </c>
      <c r="J22" s="113">
        <f t="shared" si="40"/>
        <v>0</v>
      </c>
      <c r="K22" s="43"/>
      <c r="U22" s="230">
        <f t="shared" ref="U22:V22" si="41">X22+Z22+AB22+AD22+AF22+AH22+AJ22+AL22+AN22+AP22+AR22+AT22</f>
        <v>45</v>
      </c>
      <c r="V22" s="231">
        <f t="shared" si="41"/>
        <v>0</v>
      </c>
      <c r="W22" s="232" t="str">
        <f t="shared" si="7"/>
        <v>13/04/25</v>
      </c>
      <c r="X22" s="254"/>
      <c r="Y22" s="255"/>
      <c r="Z22" s="290">
        <v>15.0</v>
      </c>
      <c r="AA22" s="236"/>
      <c r="AB22" s="256">
        <v>30.0</v>
      </c>
      <c r="AC22" s="238"/>
      <c r="AD22" s="239"/>
      <c r="AE22" s="240"/>
      <c r="AF22" s="241"/>
      <c r="AG22" s="242"/>
      <c r="AH22" s="243"/>
      <c r="AI22" s="244"/>
      <c r="AJ22" s="245"/>
      <c r="AK22" s="246"/>
      <c r="AL22" s="258"/>
      <c r="AM22" s="248"/>
      <c r="AN22" s="230"/>
      <c r="AO22" s="231"/>
      <c r="AP22" s="250"/>
      <c r="AQ22" s="259"/>
      <c r="AR22" s="252"/>
      <c r="AS22" s="253"/>
      <c r="AT22" s="136"/>
      <c r="AU22" s="253"/>
    </row>
    <row r="23">
      <c r="B23" s="174"/>
      <c r="C23" s="108"/>
      <c r="D23" s="108">
        <v>200.0</v>
      </c>
      <c r="E23" s="174" t="s">
        <v>105</v>
      </c>
      <c r="F23" s="176"/>
      <c r="G23" s="99" t="s">
        <v>48</v>
      </c>
      <c r="H23" s="100">
        <v>45761.0</v>
      </c>
      <c r="I23" s="108">
        <f t="shared" ref="I23:J23" si="42">X23+Z23+AB23+AD23+AF23+AH23+AJ23+AL23+AN23+AP23+AR23+AT23</f>
        <v>265</v>
      </c>
      <c r="J23" s="113">
        <f t="shared" si="42"/>
        <v>0</v>
      </c>
      <c r="K23" s="36"/>
      <c r="L23" s="137" t="s">
        <v>84</v>
      </c>
      <c r="M23" s="86"/>
      <c r="N23" s="138">
        <f>sum(N25:N30)</f>
        <v>0</v>
      </c>
      <c r="U23" s="230">
        <f t="shared" ref="U23:V23" si="43">X23+Z23+AB23+AD23+AF23+AH23+AJ23+AL23+AN23+AP23+AR23+AT23</f>
        <v>265</v>
      </c>
      <c r="V23" s="231">
        <f t="shared" si="43"/>
        <v>0</v>
      </c>
      <c r="W23" s="232" t="str">
        <f t="shared" si="7"/>
        <v>14/04/25</v>
      </c>
      <c r="X23" s="254"/>
      <c r="Y23" s="255"/>
      <c r="Z23" s="235">
        <f>15+20+5+15</f>
        <v>55</v>
      </c>
      <c r="AA23" s="236"/>
      <c r="AB23" s="256">
        <v>20.0</v>
      </c>
      <c r="AC23" s="238"/>
      <c r="AD23" s="239"/>
      <c r="AE23" s="240"/>
      <c r="AF23" s="241"/>
      <c r="AG23" s="242"/>
      <c r="AH23" s="264">
        <v>190.0</v>
      </c>
      <c r="AI23" s="244"/>
      <c r="AJ23" s="245"/>
      <c r="AK23" s="246"/>
      <c r="AL23" s="258"/>
      <c r="AM23" s="248"/>
      <c r="AN23" s="230"/>
      <c r="AO23" s="231"/>
      <c r="AP23" s="250"/>
      <c r="AQ23" s="259"/>
      <c r="AR23" s="252"/>
      <c r="AS23" s="253"/>
      <c r="AT23" s="136"/>
      <c r="AU23" s="253"/>
    </row>
    <row r="24">
      <c r="B24" s="174"/>
      <c r="C24" s="108"/>
      <c r="D24" s="108">
        <v>1720.0</v>
      </c>
      <c r="E24" s="174" t="s">
        <v>69</v>
      </c>
      <c r="F24" s="176"/>
      <c r="G24" s="99" t="s">
        <v>50</v>
      </c>
      <c r="H24" s="100">
        <v>45762.0</v>
      </c>
      <c r="I24" s="108">
        <f t="shared" ref="I24:J24" si="44">X24+Z24+AB24+AD24+AF24+AH24+AJ24+AL24+AN24+AP24+AR24+AT24</f>
        <v>170</v>
      </c>
      <c r="J24" s="113">
        <f t="shared" si="44"/>
        <v>0</v>
      </c>
      <c r="K24" s="36"/>
      <c r="L24" s="139" t="s">
        <v>6</v>
      </c>
      <c r="M24" s="140" t="s">
        <v>85</v>
      </c>
      <c r="N24" s="141" t="s">
        <v>35</v>
      </c>
      <c r="U24" s="230">
        <f t="shared" ref="U24:V24" si="45">X24+Z24+AB24+AD24+AF24+AH24+AJ24+AL24+AN24+AP24+AR24+AT24</f>
        <v>170</v>
      </c>
      <c r="V24" s="231">
        <f t="shared" si="45"/>
        <v>0</v>
      </c>
      <c r="W24" s="232" t="str">
        <f t="shared" si="7"/>
        <v>15/04/25</v>
      </c>
      <c r="X24" s="233">
        <v>130.0</v>
      </c>
      <c r="Y24" s="255"/>
      <c r="Z24" s="290">
        <v>40.0</v>
      </c>
      <c r="AA24" s="236"/>
      <c r="AB24" s="237"/>
      <c r="AC24" s="238"/>
      <c r="AD24" s="239"/>
      <c r="AE24" s="240"/>
      <c r="AF24" s="241"/>
      <c r="AG24" s="242"/>
      <c r="AH24" s="243"/>
      <c r="AI24" s="244"/>
      <c r="AJ24" s="245"/>
      <c r="AK24" s="246"/>
      <c r="AL24" s="258"/>
      <c r="AM24" s="248"/>
      <c r="AN24" s="230"/>
      <c r="AO24" s="231"/>
      <c r="AP24" s="250"/>
      <c r="AQ24" s="259"/>
      <c r="AR24" s="252"/>
      <c r="AS24" s="253"/>
      <c r="AT24" s="136"/>
      <c r="AU24" s="253"/>
    </row>
    <row r="25">
      <c r="B25" s="187"/>
      <c r="C25" s="112"/>
      <c r="D25" s="108">
        <v>1399.0</v>
      </c>
      <c r="E25" s="174" t="s">
        <v>69</v>
      </c>
      <c r="F25" s="171"/>
      <c r="G25" s="99" t="s">
        <v>54</v>
      </c>
      <c r="H25" s="100">
        <v>45763.0</v>
      </c>
      <c r="I25" s="108">
        <f t="shared" ref="I25:J25" si="46">X25+Z25+AB25+AD25+AF25+AH25+AJ25+AL25+AN25+AP25+AR25+AT25</f>
        <v>0</v>
      </c>
      <c r="J25" s="113">
        <f t="shared" si="46"/>
        <v>100</v>
      </c>
      <c r="K25" s="43"/>
      <c r="L25" s="152"/>
      <c r="M25" s="47"/>
      <c r="N25" s="48"/>
      <c r="U25" s="230">
        <f t="shared" ref="U25:V25" si="47">X25+Z25+AB25+AD25+AF25+AH25+AJ25+AL25+AN25+AP25+AR25+AT25</f>
        <v>0</v>
      </c>
      <c r="V25" s="231">
        <f t="shared" si="47"/>
        <v>100</v>
      </c>
      <c r="W25" s="232" t="str">
        <f t="shared" si="7"/>
        <v>16/04/25</v>
      </c>
      <c r="X25" s="254"/>
      <c r="Y25" s="255"/>
      <c r="Z25" s="235"/>
      <c r="AA25" s="236"/>
      <c r="AB25" s="237"/>
      <c r="AC25" s="238"/>
      <c r="AD25" s="239"/>
      <c r="AE25" s="240"/>
      <c r="AF25" s="241"/>
      <c r="AG25" s="263">
        <v>100.0</v>
      </c>
      <c r="AH25" s="243"/>
      <c r="AI25" s="244"/>
      <c r="AJ25" s="245"/>
      <c r="AK25" s="246"/>
      <c r="AL25" s="258"/>
      <c r="AM25" s="248"/>
      <c r="AN25" s="230"/>
      <c r="AO25" s="231"/>
      <c r="AP25" s="250"/>
      <c r="AQ25" s="259"/>
      <c r="AR25" s="252"/>
      <c r="AS25" s="253"/>
      <c r="AT25" s="136"/>
      <c r="AU25" s="253"/>
    </row>
    <row r="26">
      <c r="B26" s="169">
        <v>45742.0</v>
      </c>
      <c r="C26" s="112"/>
      <c r="D26" s="108">
        <v>1500.0</v>
      </c>
      <c r="E26" s="174" t="s">
        <v>71</v>
      </c>
      <c r="F26" s="171"/>
      <c r="G26" s="99" t="s">
        <v>57</v>
      </c>
      <c r="H26" s="100">
        <v>45764.0</v>
      </c>
      <c r="I26" s="108">
        <f t="shared" ref="I26:J26" si="48">X26+Z26+AB26+AD26+AF26+AH26+AJ26+AL26+AN26+AP26+AR26+AT26</f>
        <v>2540</v>
      </c>
      <c r="J26" s="113">
        <f t="shared" si="48"/>
        <v>0</v>
      </c>
      <c r="K26" s="43"/>
      <c r="L26" s="152"/>
      <c r="M26" s="47"/>
      <c r="N26" s="48"/>
      <c r="U26" s="230">
        <f t="shared" ref="U26:V26" si="49">X26+Z26+AB26+AD26+AF26+AH26+AJ26+AL26+AN26+AP26+AR26+AT26</f>
        <v>2540</v>
      </c>
      <c r="V26" s="231">
        <f t="shared" si="49"/>
        <v>0</v>
      </c>
      <c r="W26" s="232" t="str">
        <f t="shared" si="7"/>
        <v>17/04/25</v>
      </c>
      <c r="X26" s="254"/>
      <c r="Y26" s="255"/>
      <c r="Z26" s="235">
        <f>15+290</f>
        <v>305</v>
      </c>
      <c r="AA26" s="236"/>
      <c r="AB26" s="237">
        <f>210+70+60</f>
        <v>340</v>
      </c>
      <c r="AC26" s="238"/>
      <c r="AD26" s="239">
        <f>125+50</f>
        <v>175</v>
      </c>
      <c r="AE26" s="240"/>
      <c r="AF26" s="241"/>
      <c r="AG26" s="242"/>
      <c r="AH26" s="243"/>
      <c r="AI26" s="244"/>
      <c r="AJ26" s="294">
        <v>1720.0</v>
      </c>
      <c r="AK26" s="246"/>
      <c r="AL26" s="258"/>
      <c r="AM26" s="248"/>
      <c r="AN26" s="230"/>
      <c r="AO26" s="231"/>
      <c r="AP26" s="250"/>
      <c r="AQ26" s="259"/>
      <c r="AR26" s="252"/>
      <c r="AS26" s="253"/>
      <c r="AT26" s="136"/>
      <c r="AU26" s="253"/>
    </row>
    <row r="27">
      <c r="B27" s="169">
        <v>45742.0</v>
      </c>
      <c r="C27" s="112"/>
      <c r="D27" s="108">
        <v>1500.0</v>
      </c>
      <c r="E27" s="174" t="s">
        <v>63</v>
      </c>
      <c r="F27" s="171"/>
      <c r="G27" s="177" t="s">
        <v>60</v>
      </c>
      <c r="H27" s="260">
        <v>45765.0</v>
      </c>
      <c r="I27" s="261">
        <f t="shared" ref="I27:J27" si="50">X27+Z27+AB27+AD27+AF27+AH27+AJ27+AL27+AN27+AP27+AR27+AT27</f>
        <v>960</v>
      </c>
      <c r="J27" s="262">
        <f t="shared" si="50"/>
        <v>0</v>
      </c>
      <c r="K27" s="43"/>
      <c r="L27" s="152"/>
      <c r="M27" s="47"/>
      <c r="N27" s="48"/>
      <c r="U27" s="230">
        <f t="shared" ref="U27:V27" si="51">X27+Z27+AB27+AD27+AF27+AH27+AJ27+AL27+AN27+AP27+AR27+AT27</f>
        <v>960</v>
      </c>
      <c r="V27" s="231">
        <f t="shared" si="51"/>
        <v>0</v>
      </c>
      <c r="W27" s="232" t="str">
        <f t="shared" si="7"/>
        <v>18/04/25</v>
      </c>
      <c r="X27" s="254"/>
      <c r="Y27" s="255"/>
      <c r="Z27" s="235">
        <f>20+10</f>
        <v>30</v>
      </c>
      <c r="AA27" s="236"/>
      <c r="AB27" s="237">
        <f>220+70+40+500</f>
        <v>830</v>
      </c>
      <c r="AC27" s="238"/>
      <c r="AD27" s="239"/>
      <c r="AE27" s="240"/>
      <c r="AF27" s="241"/>
      <c r="AG27" s="242"/>
      <c r="AH27" s="243"/>
      <c r="AI27" s="244"/>
      <c r="AJ27" s="245">
        <f>20+30+10+40</f>
        <v>100</v>
      </c>
      <c r="AK27" s="246"/>
      <c r="AL27" s="258"/>
      <c r="AM27" s="248"/>
      <c r="AN27" s="230"/>
      <c r="AO27" s="231"/>
      <c r="AP27" s="250"/>
      <c r="AQ27" s="259"/>
      <c r="AR27" s="252"/>
      <c r="AS27" s="253"/>
      <c r="AT27" s="136"/>
      <c r="AU27" s="253"/>
    </row>
    <row r="28">
      <c r="B28" s="169">
        <v>45743.0</v>
      </c>
      <c r="C28" s="112"/>
      <c r="D28" s="108">
        <v>1000.0</v>
      </c>
      <c r="E28" s="174" t="s">
        <v>71</v>
      </c>
      <c r="F28" s="171"/>
      <c r="G28" s="177" t="s">
        <v>64</v>
      </c>
      <c r="H28" s="260">
        <v>45766.0</v>
      </c>
      <c r="I28" s="261">
        <f t="shared" ref="I28:J28" si="52">X28+Z28+AB28+AD28+AF28+AH28+AJ28+AL28+AN28+AP28+AR28+AT28</f>
        <v>1090</v>
      </c>
      <c r="J28" s="262">
        <f t="shared" si="52"/>
        <v>0</v>
      </c>
      <c r="K28" s="43"/>
      <c r="L28" s="152"/>
      <c r="M28" s="47"/>
      <c r="N28" s="48"/>
      <c r="U28" s="230">
        <f t="shared" ref="U28:V28" si="53">X28+Z28+AB28+AD28+AF28+AH28+AJ28+AL28+AN28+AP28+AR28+AT28</f>
        <v>1090</v>
      </c>
      <c r="V28" s="231">
        <f t="shared" si="53"/>
        <v>0</v>
      </c>
      <c r="W28" s="232" t="str">
        <f t="shared" si="7"/>
        <v>19/04/25</v>
      </c>
      <c r="X28" s="254"/>
      <c r="Y28" s="255"/>
      <c r="Z28" s="235">
        <f>300+10</f>
        <v>310</v>
      </c>
      <c r="AA28" s="236"/>
      <c r="AB28" s="237">
        <f>25+50+230+20</f>
        <v>325</v>
      </c>
      <c r="AC28" s="238"/>
      <c r="AD28" s="239"/>
      <c r="AE28" s="240"/>
      <c r="AF28" s="241"/>
      <c r="AG28" s="242"/>
      <c r="AH28" s="264">
        <v>20.0</v>
      </c>
      <c r="AI28" s="244"/>
      <c r="AJ28" s="245">
        <f>20+20+170+65+20+100+40</f>
        <v>435</v>
      </c>
      <c r="AK28" s="246"/>
      <c r="AL28" s="258"/>
      <c r="AM28" s="248"/>
      <c r="AN28" s="230"/>
      <c r="AO28" s="231"/>
      <c r="AP28" s="250"/>
      <c r="AQ28" s="259"/>
      <c r="AR28" s="252"/>
      <c r="AS28" s="253"/>
      <c r="AT28" s="136"/>
      <c r="AU28" s="253"/>
    </row>
    <row r="29">
      <c r="B29" s="148">
        <v>45743.0</v>
      </c>
      <c r="C29" s="108"/>
      <c r="D29" s="108">
        <v>1000.0</v>
      </c>
      <c r="E29" s="174" t="s">
        <v>63</v>
      </c>
      <c r="F29" s="171"/>
      <c r="G29" s="99" t="s">
        <v>45</v>
      </c>
      <c r="H29" s="100">
        <v>45767.0</v>
      </c>
      <c r="I29" s="123">
        <f t="shared" ref="I29:J29" si="54">X29+Z29+AB29+AD29+AF29+AH29+AJ29+AL29+AN29+AP29+AR29+AT29</f>
        <v>5960</v>
      </c>
      <c r="J29" s="149">
        <f t="shared" si="54"/>
        <v>0</v>
      </c>
      <c r="K29" s="295"/>
      <c r="L29" s="152"/>
      <c r="M29" s="47"/>
      <c r="N29" s="48"/>
      <c r="U29" s="230">
        <f t="shared" ref="U29:V29" si="55">X29+Z29+AB29+AD29+AF29+AH29+AJ29+AL29+AN29+AP29+AR29+AT29</f>
        <v>5960</v>
      </c>
      <c r="V29" s="231">
        <f t="shared" si="55"/>
        <v>0</v>
      </c>
      <c r="W29" s="266" t="str">
        <f t="shared" si="7"/>
        <v>20/04/25</v>
      </c>
      <c r="X29" s="267"/>
      <c r="Y29" s="268"/>
      <c r="Z29" s="269">
        <f>195+300+25+90+45+35+90</f>
        <v>780</v>
      </c>
      <c r="AA29" s="270"/>
      <c r="AB29" s="271">
        <f>50</f>
        <v>50</v>
      </c>
      <c r="AC29" s="272"/>
      <c r="AD29" s="273">
        <f>10</f>
        <v>10</v>
      </c>
      <c r="AE29" s="274"/>
      <c r="AF29" s="275"/>
      <c r="AG29" s="276"/>
      <c r="AH29" s="277"/>
      <c r="AI29" s="292"/>
      <c r="AJ29" s="279">
        <f>1970+430+1350+250+60+60+1000</f>
        <v>5120</v>
      </c>
      <c r="AK29" s="280"/>
      <c r="AL29" s="281"/>
      <c r="AM29" s="282"/>
      <c r="AN29" s="283"/>
      <c r="AO29" s="284"/>
      <c r="AP29" s="285"/>
      <c r="AQ29" s="286"/>
      <c r="AR29" s="287"/>
      <c r="AS29" s="288"/>
      <c r="AT29" s="289"/>
      <c r="AU29" s="288"/>
    </row>
    <row r="30">
      <c r="B30" s="187"/>
      <c r="C30" s="112"/>
      <c r="D30" s="112"/>
      <c r="E30" s="174" t="s">
        <v>44</v>
      </c>
      <c r="F30" s="176"/>
      <c r="G30" s="99" t="s">
        <v>48</v>
      </c>
      <c r="H30" s="100">
        <v>45768.0</v>
      </c>
      <c r="I30" s="108">
        <f t="shared" ref="I30:J30" si="56">X30+Z30+AB30+AD30+AF30+AH30+AJ30+AL30+AN30+AP30+AR30+AT30</f>
        <v>0</v>
      </c>
      <c r="J30" s="113">
        <f t="shared" si="56"/>
        <v>0</v>
      </c>
      <c r="K30" s="36"/>
      <c r="L30" s="153"/>
      <c r="M30" s="154"/>
      <c r="N30" s="68"/>
      <c r="U30" s="230">
        <f t="shared" ref="U30:V30" si="57">X30+Z30+AB30+AD30+AF30+AH30+AJ30+AL30+AN30+AP30+AR30+AT30</f>
        <v>0</v>
      </c>
      <c r="V30" s="231">
        <f t="shared" si="57"/>
        <v>0</v>
      </c>
      <c r="W30" s="232" t="str">
        <f t="shared" si="7"/>
        <v>21/04/25</v>
      </c>
      <c r="X30" s="254"/>
      <c r="Y30" s="255"/>
      <c r="Z30" s="235"/>
      <c r="AA30" s="236"/>
      <c r="AB30" s="237"/>
      <c r="AC30" s="238"/>
      <c r="AD30" s="239"/>
      <c r="AE30" s="240"/>
      <c r="AF30" s="241"/>
      <c r="AG30" s="242"/>
      <c r="AH30" s="243"/>
      <c r="AI30" s="244"/>
      <c r="AJ30" s="245"/>
      <c r="AK30" s="246"/>
      <c r="AL30" s="258"/>
      <c r="AM30" s="248"/>
      <c r="AN30" s="230"/>
      <c r="AO30" s="231"/>
      <c r="AP30" s="250"/>
      <c r="AQ30" s="259"/>
      <c r="AR30" s="252"/>
      <c r="AS30" s="253"/>
      <c r="AT30" s="136"/>
      <c r="AU30" s="253"/>
    </row>
    <row r="31">
      <c r="B31" s="174"/>
      <c r="C31" s="108"/>
      <c r="D31" s="108"/>
      <c r="E31" s="174" t="s">
        <v>44</v>
      </c>
      <c r="F31" s="176"/>
      <c r="G31" s="99" t="s">
        <v>50</v>
      </c>
      <c r="H31" s="100">
        <v>45769.0</v>
      </c>
      <c r="I31" s="108">
        <f t="shared" ref="I31:J31" si="58">X31+Z31+AB31+AD31+AF31+AH31+AJ31+AL31+AN31+AP31+AR31+AT31</f>
        <v>0</v>
      </c>
      <c r="J31" s="113">
        <f t="shared" si="58"/>
        <v>0</v>
      </c>
      <c r="K31" s="36"/>
      <c r="U31" s="230">
        <f t="shared" ref="U31:V31" si="59">X31+Z31+AB31+AD31+AF31+AH31+AJ31+AL31+AN31+AP31+AR31+AT31</f>
        <v>0</v>
      </c>
      <c r="V31" s="231">
        <f t="shared" si="59"/>
        <v>0</v>
      </c>
      <c r="W31" s="232" t="str">
        <f t="shared" si="7"/>
        <v>22/04/25</v>
      </c>
      <c r="X31" s="254"/>
      <c r="Y31" s="255"/>
      <c r="Z31" s="235"/>
      <c r="AA31" s="236"/>
      <c r="AB31" s="237"/>
      <c r="AC31" s="238"/>
      <c r="AD31" s="239"/>
      <c r="AE31" s="240"/>
      <c r="AF31" s="241"/>
      <c r="AG31" s="242"/>
      <c r="AH31" s="243"/>
      <c r="AI31" s="244"/>
      <c r="AJ31" s="245"/>
      <c r="AK31" s="246"/>
      <c r="AL31" s="258"/>
      <c r="AM31" s="248"/>
      <c r="AN31" s="230"/>
      <c r="AO31" s="231"/>
      <c r="AP31" s="250"/>
      <c r="AQ31" s="259"/>
      <c r="AR31" s="252"/>
      <c r="AS31" s="253"/>
      <c r="AT31" s="136"/>
      <c r="AU31" s="253"/>
    </row>
    <row r="32">
      <c r="B32" s="174"/>
      <c r="C32" s="108"/>
      <c r="D32" s="108"/>
      <c r="E32" s="174" t="s">
        <v>44</v>
      </c>
      <c r="F32" s="171"/>
      <c r="G32" s="99" t="s">
        <v>54</v>
      </c>
      <c r="H32" s="100">
        <v>45770.0</v>
      </c>
      <c r="I32" s="108">
        <f t="shared" ref="I32:J32" si="60">X32+Z32+AB32+AD32+AF32+AH32+AJ32+AL32+AN32+AP32+AR32+AT32</f>
        <v>1345</v>
      </c>
      <c r="J32" s="113">
        <f t="shared" si="60"/>
        <v>150</v>
      </c>
      <c r="K32" s="43"/>
      <c r="U32" s="230">
        <f t="shared" ref="U32:V32" si="61">X32+Z32+AB32+AD32+AF32+AH32+AJ32+AL32+AN32+AP32+AR32+AT32</f>
        <v>1345</v>
      </c>
      <c r="V32" s="231">
        <f t="shared" si="61"/>
        <v>150</v>
      </c>
      <c r="W32" s="232" t="str">
        <f t="shared" si="7"/>
        <v>23/04/25</v>
      </c>
      <c r="X32" s="254">
        <f>1325</f>
        <v>1325</v>
      </c>
      <c r="Y32" s="255"/>
      <c r="Z32" s="235"/>
      <c r="AA32" s="236"/>
      <c r="AB32" s="237"/>
      <c r="AC32" s="238"/>
      <c r="AD32" s="239"/>
      <c r="AE32" s="240"/>
      <c r="AF32" s="241"/>
      <c r="AG32" s="263">
        <v>150.0</v>
      </c>
      <c r="AH32" s="264">
        <v>20.0</v>
      </c>
      <c r="AI32" s="244"/>
      <c r="AJ32" s="245"/>
      <c r="AK32" s="246"/>
      <c r="AL32" s="258"/>
      <c r="AM32" s="248"/>
      <c r="AN32" s="230"/>
      <c r="AO32" s="231"/>
      <c r="AP32" s="250"/>
      <c r="AQ32" s="259"/>
      <c r="AR32" s="252"/>
      <c r="AS32" s="253"/>
      <c r="AT32" s="136"/>
      <c r="AU32" s="253"/>
    </row>
    <row r="33">
      <c r="B33" s="174"/>
      <c r="C33" s="108"/>
      <c r="D33" s="108"/>
      <c r="E33" s="174" t="s">
        <v>44</v>
      </c>
      <c r="F33" s="171"/>
      <c r="G33" s="99" t="s">
        <v>57</v>
      </c>
      <c r="H33" s="100">
        <v>45771.0</v>
      </c>
      <c r="I33" s="108">
        <f t="shared" ref="I33:J33" si="62">X33+Z33+AB33+AD33+AF33+AH33+AJ33+AL33+AN33+AP33+AR33+AT33</f>
        <v>30</v>
      </c>
      <c r="J33" s="113">
        <f t="shared" si="62"/>
        <v>200</v>
      </c>
      <c r="K33" s="43"/>
      <c r="U33" s="230">
        <f t="shared" ref="U33:V33" si="63">X33+Z33+AB33+AD33+AF33+AH33+AJ33+AL33+AN33+AP33+AR33+AT33</f>
        <v>30</v>
      </c>
      <c r="V33" s="231">
        <f t="shared" si="63"/>
        <v>200</v>
      </c>
      <c r="W33" s="232" t="str">
        <f t="shared" si="7"/>
        <v>24/04/25</v>
      </c>
      <c r="X33" s="254"/>
      <c r="Y33" s="255"/>
      <c r="Z33" s="290">
        <v>30.0</v>
      </c>
      <c r="AA33" s="236"/>
      <c r="AB33" s="237"/>
      <c r="AC33" s="238"/>
      <c r="AD33" s="239"/>
      <c r="AE33" s="240"/>
      <c r="AF33" s="241"/>
      <c r="AG33" s="263">
        <v>200.0</v>
      </c>
      <c r="AH33" s="243"/>
      <c r="AI33" s="244"/>
      <c r="AJ33" s="245"/>
      <c r="AK33" s="246"/>
      <c r="AL33" s="258"/>
      <c r="AM33" s="248"/>
      <c r="AN33" s="230"/>
      <c r="AO33" s="231"/>
      <c r="AP33" s="250"/>
      <c r="AQ33" s="259"/>
      <c r="AR33" s="252"/>
      <c r="AS33" s="253"/>
      <c r="AT33" s="136"/>
      <c r="AU33" s="253"/>
    </row>
    <row r="34">
      <c r="B34" s="187"/>
      <c r="C34" s="112"/>
      <c r="D34" s="112"/>
      <c r="E34" s="174" t="s">
        <v>44</v>
      </c>
      <c r="F34" s="171"/>
      <c r="G34" s="177" t="s">
        <v>60</v>
      </c>
      <c r="H34" s="260">
        <v>45772.0</v>
      </c>
      <c r="I34" s="261">
        <f t="shared" ref="I34:J34" si="64">X34+Z34+AB34+AD34+AF34+AH34+AJ34+AL34+AN34+AP34+AR34+AT34</f>
        <v>57</v>
      </c>
      <c r="J34" s="262">
        <f t="shared" si="64"/>
        <v>689</v>
      </c>
      <c r="K34" s="43"/>
      <c r="U34" s="230">
        <f t="shared" ref="U34:V34" si="65">X34+Z34+AB34+AD34+AF34+AH34+AJ34+AL34+AN34+AP34+AR34+AT34</f>
        <v>57</v>
      </c>
      <c r="V34" s="231">
        <f t="shared" si="65"/>
        <v>689</v>
      </c>
      <c r="W34" s="232" t="str">
        <f t="shared" si="7"/>
        <v>25/04/25</v>
      </c>
      <c r="X34" s="254"/>
      <c r="Y34" s="255"/>
      <c r="Z34" s="290">
        <f>22+15</f>
        <v>37</v>
      </c>
      <c r="AA34" s="236"/>
      <c r="AB34" s="256">
        <v>20.0</v>
      </c>
      <c r="AC34" s="238"/>
      <c r="AD34" s="239"/>
      <c r="AE34" s="240"/>
      <c r="AF34" s="241"/>
      <c r="AG34" s="263">
        <v>689.0</v>
      </c>
      <c r="AH34" s="243"/>
      <c r="AI34" s="244"/>
      <c r="AJ34" s="245"/>
      <c r="AK34" s="246"/>
      <c r="AL34" s="258"/>
      <c r="AM34" s="248"/>
      <c r="AN34" s="230"/>
      <c r="AO34" s="231"/>
      <c r="AP34" s="250"/>
      <c r="AQ34" s="259"/>
      <c r="AR34" s="252"/>
      <c r="AS34" s="253"/>
      <c r="AT34" s="136"/>
      <c r="AU34" s="253"/>
    </row>
    <row r="35">
      <c r="B35" s="187"/>
      <c r="C35" s="112"/>
      <c r="D35" s="112"/>
      <c r="E35" s="174" t="s">
        <v>44</v>
      </c>
      <c r="F35" s="171"/>
      <c r="G35" s="177" t="s">
        <v>64</v>
      </c>
      <c r="H35" s="260">
        <v>45773.0</v>
      </c>
      <c r="I35" s="261">
        <f t="shared" ref="I35:J35" si="66">X35+Z35+AB35+AD35+AF35+AH35+AJ35+AL35+AN35+AP35+AR35+AT35</f>
        <v>1494</v>
      </c>
      <c r="J35" s="262">
        <f t="shared" si="66"/>
        <v>50</v>
      </c>
      <c r="K35" s="43"/>
      <c r="U35" s="230">
        <f t="shared" ref="U35:V35" si="67">X35+Z35+AB35+AD35+AF35+AH35+AJ35+AL35+AN35+AP35+AR35+AT35</f>
        <v>1494</v>
      </c>
      <c r="V35" s="231">
        <f t="shared" si="67"/>
        <v>50</v>
      </c>
      <c r="W35" s="232" t="str">
        <f t="shared" si="7"/>
        <v>26/04/25</v>
      </c>
      <c r="X35" s="254"/>
      <c r="Y35" s="255"/>
      <c r="Z35" s="290">
        <f>30+15+30</f>
        <v>75</v>
      </c>
      <c r="AA35" s="236"/>
      <c r="AB35" s="256">
        <v>20.0</v>
      </c>
      <c r="AC35" s="238"/>
      <c r="AD35" s="239"/>
      <c r="AE35" s="240"/>
      <c r="AF35" s="241"/>
      <c r="AG35" s="263">
        <v>50.0</v>
      </c>
      <c r="AH35" s="264">
        <v>1399.0</v>
      </c>
      <c r="AI35" s="244"/>
      <c r="AJ35" s="245"/>
      <c r="AK35" s="246"/>
      <c r="AL35" s="258"/>
      <c r="AM35" s="248"/>
      <c r="AN35" s="230"/>
      <c r="AO35" s="231"/>
      <c r="AP35" s="250"/>
      <c r="AQ35" s="259"/>
      <c r="AR35" s="252"/>
      <c r="AS35" s="253"/>
      <c r="AT35" s="136"/>
      <c r="AU35" s="253"/>
    </row>
    <row r="36">
      <c r="B36" s="187"/>
      <c r="C36" s="112"/>
      <c r="D36" s="112"/>
      <c r="E36" s="174" t="s">
        <v>44</v>
      </c>
      <c r="F36" s="190"/>
      <c r="G36" s="155"/>
      <c r="H36" s="155"/>
      <c r="I36" s="108">
        <f t="shared" ref="I36:J36" si="68">X36+Z36+AB36+AD36+AF36+AH36+AJ36+AL36+AN36+AP36+AR36+AT36</f>
        <v>55</v>
      </c>
      <c r="J36" s="113">
        <f t="shared" si="68"/>
        <v>0</v>
      </c>
      <c r="K36" s="43"/>
      <c r="U36" s="230">
        <f t="shared" ref="U36:V36" si="69">X36+Z36+AB36+AD36+AF36+AH36+AJ36+AL36+AN36+AP36+AR36+AT36</f>
        <v>55</v>
      </c>
      <c r="V36" s="231">
        <f t="shared" si="69"/>
        <v>0</v>
      </c>
      <c r="W36" s="296">
        <v>45774.0</v>
      </c>
      <c r="X36" s="254"/>
      <c r="Y36" s="255"/>
      <c r="Z36" s="235">
        <f>30+25</f>
        <v>55</v>
      </c>
      <c r="AA36" s="236"/>
      <c r="AB36" s="237"/>
      <c r="AC36" s="238"/>
      <c r="AD36" s="239"/>
      <c r="AE36" s="240"/>
      <c r="AF36" s="241"/>
      <c r="AG36" s="242"/>
      <c r="AH36" s="243"/>
      <c r="AI36" s="244"/>
      <c r="AJ36" s="245"/>
      <c r="AK36" s="246"/>
      <c r="AL36" s="258"/>
      <c r="AM36" s="248"/>
      <c r="AN36" s="230"/>
      <c r="AO36" s="231"/>
      <c r="AP36" s="250"/>
      <c r="AQ36" s="259"/>
      <c r="AR36" s="252"/>
      <c r="AS36" s="253"/>
      <c r="AT36" s="136"/>
      <c r="AU36" s="253"/>
    </row>
    <row r="37">
      <c r="B37" s="187"/>
      <c r="C37" s="112"/>
      <c r="D37" s="112"/>
      <c r="E37" s="174" t="s">
        <v>44</v>
      </c>
      <c r="F37" s="190"/>
      <c r="G37" s="155"/>
      <c r="H37" s="155"/>
      <c r="I37" s="108">
        <f t="shared" ref="I37:J37" si="70">X37+Z37+AB37+AD37+AF37+AH37+AJ37+AL37+AN37+AP37+AR37+AT37</f>
        <v>0</v>
      </c>
      <c r="J37" s="113">
        <f t="shared" si="70"/>
        <v>0</v>
      </c>
      <c r="K37" s="43"/>
      <c r="U37" s="230">
        <f t="shared" ref="U37:V37" si="71">X37+Z37+AB37+AD37+AF37+AH37+AJ37+AL37+AN37+AP37+AR37+AT37</f>
        <v>0</v>
      </c>
      <c r="V37" s="231">
        <f t="shared" si="71"/>
        <v>0</v>
      </c>
      <c r="W37" s="232" t="str">
        <f t="shared" ref="W37:W39" si="74">IF(H37&lt;&gt;"", TEXT(H37, "DD/MM/YY"), "")</f>
        <v/>
      </c>
      <c r="X37" s="254"/>
      <c r="Y37" s="255"/>
      <c r="Z37" s="235"/>
      <c r="AA37" s="236"/>
      <c r="AB37" s="237"/>
      <c r="AC37" s="238"/>
      <c r="AD37" s="239"/>
      <c r="AE37" s="240"/>
      <c r="AF37" s="241"/>
      <c r="AG37" s="242"/>
      <c r="AH37" s="243"/>
      <c r="AI37" s="244"/>
      <c r="AJ37" s="245"/>
      <c r="AK37" s="246"/>
      <c r="AL37" s="258"/>
      <c r="AM37" s="248"/>
      <c r="AN37" s="230"/>
      <c r="AO37" s="231"/>
      <c r="AP37" s="250"/>
      <c r="AQ37" s="259"/>
      <c r="AR37" s="252"/>
      <c r="AS37" s="253"/>
      <c r="AT37" s="136"/>
      <c r="AU37" s="253"/>
    </row>
    <row r="38">
      <c r="B38" s="187"/>
      <c r="C38" s="112"/>
      <c r="D38" s="112"/>
      <c r="E38" s="174" t="s">
        <v>44</v>
      </c>
      <c r="F38" s="190"/>
      <c r="G38" s="155"/>
      <c r="H38" s="155"/>
      <c r="I38" s="108">
        <f t="shared" ref="I38:J38" si="72">X38+Z38+AB38+AD38+AF38+AH38+AJ38+AL38+AN38+AP38+AR38+AT38</f>
        <v>0</v>
      </c>
      <c r="J38" s="113">
        <f t="shared" si="72"/>
        <v>0</v>
      </c>
      <c r="K38" s="43"/>
      <c r="U38" s="230">
        <f t="shared" ref="U38:V38" si="73">X38+Z38+AB38+AD38+AF38+AH38+AJ38+AL38+AN38+AP38+AR38+AT38</f>
        <v>0</v>
      </c>
      <c r="V38" s="231">
        <f t="shared" si="73"/>
        <v>0</v>
      </c>
      <c r="W38" s="232" t="str">
        <f t="shared" si="74"/>
        <v/>
      </c>
      <c r="X38" s="254"/>
      <c r="Y38" s="255"/>
      <c r="Z38" s="235"/>
      <c r="AA38" s="236"/>
      <c r="AB38" s="237"/>
      <c r="AC38" s="238"/>
      <c r="AD38" s="239"/>
      <c r="AE38" s="240"/>
      <c r="AF38" s="241"/>
      <c r="AG38" s="242"/>
      <c r="AH38" s="243"/>
      <c r="AI38" s="244"/>
      <c r="AJ38" s="245"/>
      <c r="AK38" s="246"/>
      <c r="AL38" s="258"/>
      <c r="AM38" s="248"/>
      <c r="AN38" s="230"/>
      <c r="AO38" s="231"/>
      <c r="AP38" s="250"/>
      <c r="AQ38" s="259"/>
      <c r="AR38" s="252"/>
      <c r="AS38" s="253"/>
      <c r="AT38" s="136"/>
      <c r="AU38" s="253"/>
    </row>
    <row r="39">
      <c r="B39" s="191"/>
      <c r="C39" s="127"/>
      <c r="D39" s="127"/>
      <c r="E39" s="192" t="s">
        <v>44</v>
      </c>
      <c r="F39" s="190"/>
      <c r="G39" s="156"/>
      <c r="H39" s="156"/>
      <c r="I39" s="123">
        <f t="shared" ref="I39:J39" si="75">X39+Z39+AB39+AD39+AF39+AH39+AJ39+AL39+AN39+AP39+AR39+AT39</f>
        <v>0</v>
      </c>
      <c r="J39" s="149">
        <f t="shared" si="75"/>
        <v>0</v>
      </c>
      <c r="K39" s="43"/>
      <c r="U39" s="283">
        <f t="shared" ref="U39:V39" si="76">X39+Z39+AB39+AD39+AF39+AH39+AJ39+AL39+AN39+AP39+AR39+AT39</f>
        <v>0</v>
      </c>
      <c r="V39" s="284">
        <f t="shared" si="76"/>
        <v>0</v>
      </c>
      <c r="W39" s="266" t="str">
        <f t="shared" si="74"/>
        <v/>
      </c>
      <c r="X39" s="267"/>
      <c r="Y39" s="268"/>
      <c r="Z39" s="269"/>
      <c r="AA39" s="270"/>
      <c r="AB39" s="271"/>
      <c r="AC39" s="272"/>
      <c r="AD39" s="273"/>
      <c r="AE39" s="274"/>
      <c r="AF39" s="275"/>
      <c r="AG39" s="276"/>
      <c r="AH39" s="277"/>
      <c r="AI39" s="292"/>
      <c r="AJ39" s="279"/>
      <c r="AK39" s="280"/>
      <c r="AL39" s="281"/>
      <c r="AM39" s="282"/>
      <c r="AN39" s="283"/>
      <c r="AO39" s="284"/>
      <c r="AP39" s="285"/>
      <c r="AQ39" s="286"/>
      <c r="AR39" s="287"/>
      <c r="AS39" s="288"/>
      <c r="AT39" s="289"/>
      <c r="AU39" s="288"/>
    </row>
    <row r="49">
      <c r="G49" s="297">
        <v>45805.0</v>
      </c>
      <c r="H49" s="298">
        <f>190+110</f>
        <v>300</v>
      </c>
    </row>
    <row r="50">
      <c r="G50" s="299">
        <v>45806.0</v>
      </c>
      <c r="H50" s="298">
        <f>100+50</f>
        <v>150</v>
      </c>
      <c r="I50" s="10" t="s">
        <v>106</v>
      </c>
      <c r="K50" s="10">
        <v>140.0</v>
      </c>
    </row>
    <row r="51">
      <c r="G51" s="299">
        <v>45807.0</v>
      </c>
      <c r="H51" s="298">
        <f>20+80</f>
        <v>100</v>
      </c>
    </row>
  </sheetData>
  <mergeCells count="20">
    <mergeCell ref="AN2:AO2"/>
    <mergeCell ref="AP2:AQ2"/>
    <mergeCell ref="AR2:AS2"/>
    <mergeCell ref="AT2:AU2"/>
    <mergeCell ref="Z2:AA2"/>
    <mergeCell ref="AB2:AC2"/>
    <mergeCell ref="AD2:AE2"/>
    <mergeCell ref="AF2:AG2"/>
    <mergeCell ref="AH2:AI2"/>
    <mergeCell ref="AJ2:AK2"/>
    <mergeCell ref="AL2:AM2"/>
    <mergeCell ref="L14:M14"/>
    <mergeCell ref="L23:M23"/>
    <mergeCell ref="B2:E2"/>
    <mergeCell ref="G2:G3"/>
    <mergeCell ref="H2:H3"/>
    <mergeCell ref="L2:M2"/>
    <mergeCell ref="U2:V2"/>
    <mergeCell ref="W2:W3"/>
    <mergeCell ref="X2:Y2"/>
  </mergeCells>
  <dataValidations>
    <dataValidation type="list" allowBlank="1" showErrorMessage="1" sqref="E4:E39">
      <formula1>"None,S_A/C--&gt;bKash,S_A/C--&gt;Cash,bKash--&gt;givenLend,Cash--&gt;givenLend,SonaliBU--&gt;givenLend,givenLend--&gt;bKash,givenLend--&gt;Cash,givenLend--&gt;Nagad,givenLend--&gt;SonaliBU,takenLend--&gt;Cash,takenLend--&gt;bKash,bKash--&gt;takenLend,Cash--&gt;takenLend,bKash--&gt;Cash,Cash--&gt;bKa"&amp;"sh,S_A/C--&gt;SonaliBU,Cash--&gt;SonaliBU,add--&gt;S_A/C,add--&gt;bKash,add--&gt;Cash,Nagad--&gt;Cash"</formula1>
    </dataValidation>
  </dataValidations>
  <drawing r:id="rId4"/>
  <legacyDrawing r:id="rId5"/>
  <tableParts count="5"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5.5"/>
    <col customWidth="1" min="3" max="3" width="25.25"/>
    <col customWidth="1" min="4" max="4" width="17.88"/>
    <col customWidth="1" min="5" max="5" width="15.63"/>
    <col customWidth="1" min="6" max="6" width="15.13"/>
    <col customWidth="1" min="11" max="11" width="98.88"/>
  </cols>
  <sheetData>
    <row r="1" ht="22.5" customHeight="1">
      <c r="A1" s="300" t="s">
        <v>107</v>
      </c>
      <c r="B1" s="300" t="s">
        <v>108</v>
      </c>
      <c r="C1" s="300" t="s">
        <v>109</v>
      </c>
      <c r="D1" s="300" t="s">
        <v>110</v>
      </c>
      <c r="E1" s="301" t="s">
        <v>111</v>
      </c>
      <c r="F1" s="300" t="s">
        <v>112</v>
      </c>
      <c r="G1" s="302" t="s">
        <v>113</v>
      </c>
    </row>
    <row r="2" ht="22.5" customHeight="1">
      <c r="A2" s="303" t="s">
        <v>114</v>
      </c>
      <c r="B2" s="303" t="s">
        <v>115</v>
      </c>
      <c r="C2" s="304" t="str">
        <f t="array" ref="C2:C10">UNIQUE(A2:A1006)</f>
        <v>RentAndPaybill</v>
      </c>
      <c r="D2" s="303" t="s">
        <v>51</v>
      </c>
      <c r="E2" s="303" t="s">
        <v>51</v>
      </c>
      <c r="G2" s="305" t="s">
        <v>116</v>
      </c>
      <c r="K2" s="10" t="s">
        <v>117</v>
      </c>
    </row>
    <row r="3" ht="22.5" customHeight="1">
      <c r="A3" s="303" t="s">
        <v>114</v>
      </c>
      <c r="B3" s="303" t="s">
        <v>118</v>
      </c>
      <c r="C3" s="304" t="s">
        <v>119</v>
      </c>
      <c r="D3" s="303" t="s">
        <v>120</v>
      </c>
      <c r="E3" s="303" t="s">
        <v>120</v>
      </c>
      <c r="G3" s="305" t="s">
        <v>121</v>
      </c>
    </row>
    <row r="4" ht="22.5" customHeight="1">
      <c r="A4" s="303" t="s">
        <v>114</v>
      </c>
      <c r="B4" s="303" t="s">
        <v>122</v>
      </c>
      <c r="C4" s="304" t="s">
        <v>123</v>
      </c>
      <c r="D4" s="303" t="s">
        <v>124</v>
      </c>
      <c r="E4" s="303" t="s">
        <v>124</v>
      </c>
      <c r="G4" s="305" t="s">
        <v>125</v>
      </c>
    </row>
    <row r="5" ht="22.5" customHeight="1">
      <c r="A5" s="303" t="s">
        <v>114</v>
      </c>
      <c r="B5" s="303" t="s">
        <v>126</v>
      </c>
      <c r="C5" s="304" t="s">
        <v>127</v>
      </c>
      <c r="D5" s="303" t="s">
        <v>128</v>
      </c>
      <c r="E5" s="303" t="s">
        <v>128</v>
      </c>
      <c r="G5" s="305" t="s">
        <v>129</v>
      </c>
    </row>
    <row r="6" ht="22.5" customHeight="1">
      <c r="A6" s="303" t="s">
        <v>114</v>
      </c>
      <c r="B6" s="303" t="s">
        <v>130</v>
      </c>
      <c r="C6" s="304" t="s">
        <v>131</v>
      </c>
      <c r="D6" s="303" t="s">
        <v>12</v>
      </c>
      <c r="E6" s="303" t="s">
        <v>12</v>
      </c>
      <c r="G6" s="305" t="s">
        <v>132</v>
      </c>
    </row>
    <row r="7" ht="22.5" customHeight="1">
      <c r="A7" s="303" t="s">
        <v>114</v>
      </c>
      <c r="B7" s="303" t="s">
        <v>133</v>
      </c>
      <c r="C7" s="304" t="s">
        <v>134</v>
      </c>
      <c r="D7" s="303" t="s">
        <v>65</v>
      </c>
      <c r="E7" s="303" t="s">
        <v>65</v>
      </c>
      <c r="G7" s="306"/>
    </row>
    <row r="8" ht="22.5" customHeight="1">
      <c r="A8" s="303" t="s">
        <v>119</v>
      </c>
      <c r="B8" s="303" t="s">
        <v>135</v>
      </c>
      <c r="C8" s="304" t="s">
        <v>26</v>
      </c>
      <c r="D8" s="303" t="s">
        <v>136</v>
      </c>
      <c r="E8" s="303" t="s">
        <v>137</v>
      </c>
      <c r="G8" s="306"/>
    </row>
    <row r="9" ht="22.5" customHeight="1">
      <c r="A9" s="303" t="s">
        <v>119</v>
      </c>
      <c r="B9" s="303" t="s">
        <v>138</v>
      </c>
      <c r="C9" s="304" t="s">
        <v>139</v>
      </c>
      <c r="E9" s="303" t="s">
        <v>140</v>
      </c>
      <c r="G9" s="306"/>
    </row>
    <row r="10" ht="22.5" customHeight="1">
      <c r="A10" s="303" t="s">
        <v>119</v>
      </c>
      <c r="B10" s="303" t="s">
        <v>141</v>
      </c>
      <c r="C10" s="304"/>
      <c r="E10" s="303" t="s">
        <v>136</v>
      </c>
      <c r="G10" s="306"/>
    </row>
    <row r="11" ht="22.5" customHeight="1">
      <c r="A11" s="303" t="s">
        <v>119</v>
      </c>
      <c r="B11" s="303" t="s">
        <v>142</v>
      </c>
      <c r="E11" s="303" t="s">
        <v>143</v>
      </c>
      <c r="G11" s="306"/>
    </row>
    <row r="12" ht="22.5" customHeight="1">
      <c r="A12" s="303" t="s">
        <v>123</v>
      </c>
      <c r="B12" s="303" t="s">
        <v>123</v>
      </c>
      <c r="E12" s="303" t="s">
        <v>139</v>
      </c>
      <c r="G12" s="306"/>
    </row>
    <row r="13" ht="22.5" customHeight="1">
      <c r="A13" s="303" t="s">
        <v>123</v>
      </c>
      <c r="B13" s="303" t="s">
        <v>144</v>
      </c>
      <c r="G13" s="306"/>
    </row>
    <row r="14" ht="22.5" customHeight="1">
      <c r="A14" s="303" t="s">
        <v>123</v>
      </c>
      <c r="B14" s="303" t="s">
        <v>145</v>
      </c>
      <c r="G14" s="306"/>
    </row>
    <row r="15" ht="22.5" customHeight="1">
      <c r="A15" s="303" t="s">
        <v>127</v>
      </c>
      <c r="B15" s="303" t="s">
        <v>146</v>
      </c>
      <c r="G15" s="306"/>
    </row>
    <row r="16" ht="22.5" customHeight="1">
      <c r="A16" s="303" t="s">
        <v>127</v>
      </c>
      <c r="B16" s="303" t="s">
        <v>147</v>
      </c>
      <c r="G16" s="306"/>
    </row>
    <row r="17" ht="22.5" customHeight="1">
      <c r="A17" s="303" t="s">
        <v>131</v>
      </c>
      <c r="B17" s="303" t="s">
        <v>148</v>
      </c>
      <c r="G17" s="306"/>
    </row>
    <row r="18" ht="22.5" customHeight="1">
      <c r="A18" s="303" t="s">
        <v>131</v>
      </c>
      <c r="B18" s="303" t="s">
        <v>23</v>
      </c>
      <c r="G18" s="306"/>
    </row>
    <row r="19" ht="22.5" customHeight="1">
      <c r="A19" s="303" t="s">
        <v>131</v>
      </c>
      <c r="B19" s="303" t="s">
        <v>149</v>
      </c>
      <c r="G19" s="306"/>
    </row>
    <row r="20" ht="22.5" customHeight="1">
      <c r="A20" s="303" t="s">
        <v>131</v>
      </c>
      <c r="B20" s="303" t="s">
        <v>150</v>
      </c>
      <c r="G20" s="306"/>
    </row>
    <row r="21" ht="22.5" customHeight="1">
      <c r="A21" s="303" t="s">
        <v>131</v>
      </c>
      <c r="B21" s="303" t="s">
        <v>131</v>
      </c>
      <c r="G21" s="306"/>
    </row>
    <row r="22" ht="22.5" customHeight="1">
      <c r="A22" s="303" t="s">
        <v>134</v>
      </c>
      <c r="B22" s="303" t="s">
        <v>116</v>
      </c>
      <c r="G22" s="306"/>
    </row>
    <row r="23" ht="22.5" customHeight="1">
      <c r="A23" s="303" t="s">
        <v>134</v>
      </c>
      <c r="B23" s="303" t="s">
        <v>121</v>
      </c>
      <c r="G23" s="306"/>
    </row>
    <row r="24" ht="22.5" customHeight="1">
      <c r="A24" s="303" t="s">
        <v>134</v>
      </c>
      <c r="B24" s="303" t="s">
        <v>125</v>
      </c>
      <c r="G24" s="306"/>
    </row>
    <row r="25" ht="22.5" customHeight="1">
      <c r="A25" s="303" t="s">
        <v>134</v>
      </c>
      <c r="B25" s="303" t="s">
        <v>129</v>
      </c>
      <c r="G25" s="306"/>
    </row>
    <row r="26" ht="22.5" customHeight="1">
      <c r="A26" s="303" t="s">
        <v>134</v>
      </c>
      <c r="B26" s="303" t="s">
        <v>132</v>
      </c>
      <c r="G26" s="306"/>
    </row>
    <row r="27" ht="22.5" customHeight="1">
      <c r="A27" s="303" t="s">
        <v>26</v>
      </c>
      <c r="B27" s="303" t="s">
        <v>26</v>
      </c>
      <c r="G27" s="306"/>
    </row>
    <row r="28" ht="22.5" customHeight="1">
      <c r="A28" s="303" t="s">
        <v>26</v>
      </c>
      <c r="B28" s="305" t="s">
        <v>151</v>
      </c>
      <c r="C28" s="306"/>
      <c r="D28" s="306"/>
      <c r="G28" s="306"/>
    </row>
    <row r="29" ht="22.5" customHeight="1">
      <c r="A29" s="305" t="s">
        <v>139</v>
      </c>
      <c r="B29" s="305" t="s">
        <v>152</v>
      </c>
      <c r="C29" s="306"/>
      <c r="D29" s="306"/>
      <c r="G29" s="306"/>
    </row>
    <row r="30" ht="22.5" customHeight="1">
      <c r="A30" s="305" t="s">
        <v>139</v>
      </c>
      <c r="B30" s="305" t="s">
        <v>153</v>
      </c>
      <c r="C30" s="306"/>
      <c r="D30" s="306"/>
      <c r="G30" s="306"/>
    </row>
    <row r="31" ht="22.5" customHeight="1">
      <c r="A31" s="305" t="s">
        <v>139</v>
      </c>
      <c r="B31" s="305" t="s">
        <v>154</v>
      </c>
      <c r="C31" s="306"/>
      <c r="D31" s="306"/>
      <c r="G31" s="306"/>
    </row>
    <row r="32" ht="22.5" customHeight="1">
      <c r="A32" s="305"/>
      <c r="B32" s="305"/>
      <c r="C32" s="306"/>
      <c r="D32" s="306"/>
      <c r="G32" s="306"/>
    </row>
    <row r="33" ht="22.5" customHeight="1">
      <c r="A33" s="305"/>
      <c r="B33" s="305"/>
      <c r="C33" s="306"/>
      <c r="D33" s="306"/>
      <c r="G33" s="306"/>
    </row>
    <row r="34" ht="22.5" customHeight="1">
      <c r="A34" s="305"/>
      <c r="B34" s="305"/>
      <c r="C34" s="306"/>
      <c r="D34" s="306"/>
      <c r="G34" s="306"/>
    </row>
    <row r="35" ht="22.5" customHeight="1">
      <c r="A35" s="305"/>
      <c r="B35" s="305"/>
      <c r="C35" s="306"/>
      <c r="D35" s="306"/>
      <c r="G35" s="306"/>
    </row>
    <row r="36" ht="22.5" customHeight="1">
      <c r="A36" s="305"/>
      <c r="B36" s="305"/>
      <c r="C36" s="306"/>
      <c r="D36" s="306"/>
      <c r="G36" s="306"/>
    </row>
    <row r="37" ht="22.5" customHeight="1">
      <c r="A37" s="305"/>
      <c r="B37" s="305"/>
      <c r="C37" s="306"/>
      <c r="D37" s="306"/>
      <c r="G37" s="306"/>
    </row>
  </sheetData>
  <conditionalFormatting sqref="G8">
    <cfRule type="notContainsBlanks" dxfId="12" priority="1">
      <formula>LEN(TRIM(G8))&gt;0</formula>
    </cfRule>
  </conditionalFormatting>
  <conditionalFormatting sqref="E9">
    <cfRule type="notContainsBlanks" dxfId="12" priority="2">
      <formula>LEN(TRIM(E9))&gt;0</formula>
    </cfRule>
  </conditionalFormatting>
  <conditionalFormatting sqref="H8">
    <cfRule type="notContainsBlanks" dxfId="12" priority="3">
      <formula>LEN(TRIM(H8))&gt;0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08"/>
      <c r="L2" s="84" t="s">
        <v>34</v>
      </c>
      <c r="M2" s="86"/>
      <c r="N2" s="85">
        <f>M4+M5+M6+M8+M9</f>
        <v>420</v>
      </c>
      <c r="P2" s="309" t="s">
        <v>6</v>
      </c>
      <c r="Q2" s="310" t="s">
        <v>107</v>
      </c>
      <c r="R2" s="310" t="s">
        <v>108</v>
      </c>
      <c r="S2" s="310" t="s">
        <v>156</v>
      </c>
      <c r="T2" s="310" t="s">
        <v>35</v>
      </c>
      <c r="U2" s="311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14" t="s">
        <v>4</v>
      </c>
      <c r="L3" s="166" t="s">
        <v>39</v>
      </c>
      <c r="M3" s="167" t="s">
        <v>40</v>
      </c>
      <c r="N3" s="168" t="s">
        <v>41</v>
      </c>
      <c r="P3" s="315">
        <v>45807.0</v>
      </c>
      <c r="Q3" s="316" t="s">
        <v>119</v>
      </c>
      <c r="R3" s="316" t="s">
        <v>135</v>
      </c>
      <c r="S3" s="316" t="s">
        <v>51</v>
      </c>
      <c r="T3" s="316">
        <f>360+20+330+30</f>
        <v>740</v>
      </c>
      <c r="U3" s="253"/>
      <c r="V3" s="136"/>
    </row>
    <row r="4">
      <c r="B4" s="317">
        <v>45804.0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Monday</v>
      </c>
      <c r="I4" s="319">
        <v>45803.0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321">
        <f t="array" ref="M4">N4 - sum(IF(($E$4:$E$49=L4), $D$4:$D$39 + $C$4:$C$39, 0)) + sum(IF(($F$4:$F$49=L4), $D$4:$D$39, 0)) - sum(IF(($S$3:$S$100=L4), $T$3:$T$100, 0))</f>
        <v>35</v>
      </c>
      <c r="N4" s="322">
        <v>0.0</v>
      </c>
      <c r="P4" s="323">
        <v>45807.0</v>
      </c>
      <c r="Q4" s="316" t="s">
        <v>119</v>
      </c>
      <c r="R4" s="316" t="s">
        <v>138</v>
      </c>
      <c r="S4" s="316" t="s">
        <v>51</v>
      </c>
      <c r="T4" s="316">
        <v>400.0</v>
      </c>
      <c r="U4" s="253"/>
      <c r="V4" s="136"/>
    </row>
    <row r="5">
      <c r="B5" s="317">
        <v>45804.0</v>
      </c>
      <c r="C5" s="108"/>
      <c r="D5" s="142">
        <v>3333.0</v>
      </c>
      <c r="E5" s="108" t="s">
        <v>143</v>
      </c>
      <c r="F5" s="174" t="s">
        <v>120</v>
      </c>
      <c r="H5" s="318" t="str">
        <f t="shared" si="1"/>
        <v>Tuesday</v>
      </c>
      <c r="I5" s="319">
        <v>45804.0</v>
      </c>
      <c r="J5" s="170">
        <f t="array" ref="J5">sum(IF(($P$3:$P$100=I5), $T$3:$T$100, 0))</f>
        <v>0</v>
      </c>
      <c r="L5" s="324" t="s">
        <v>120</v>
      </c>
      <c r="M5" s="325">
        <f t="array" ref="M5">N5 - sum(IF(($E$4:$E$49=L5), $D$4:$D$39 + $C$4:$C$39, 0)) + sum(IF(($F$4:$F$49=L5), $D$4:$D$39, 0)) - sum(IF(($S$3:$S$100=L5), $T$3:$T$100, 0))</f>
        <v>8</v>
      </c>
      <c r="N5" s="326">
        <v>0.0</v>
      </c>
      <c r="P5" s="323">
        <v>45808.0</v>
      </c>
      <c r="Q5" s="316" t="s">
        <v>131</v>
      </c>
      <c r="R5" s="316" t="s">
        <v>131</v>
      </c>
      <c r="S5" s="316" t="s">
        <v>51</v>
      </c>
      <c r="T5" s="316">
        <v>103000.0</v>
      </c>
      <c r="U5" s="253"/>
      <c r="V5" s="136"/>
    </row>
    <row r="6">
      <c r="B6" s="317">
        <v>45804.0</v>
      </c>
      <c r="C6" s="108"/>
      <c r="D6" s="142">
        <v>150000.0</v>
      </c>
      <c r="E6" s="108" t="s">
        <v>143</v>
      </c>
      <c r="F6" s="174" t="s">
        <v>120</v>
      </c>
      <c r="H6" s="318" t="str">
        <f t="shared" si="1"/>
        <v>Wednesday</v>
      </c>
      <c r="I6" s="319">
        <v>45805.0</v>
      </c>
      <c r="J6" s="170">
        <f t="array" ref="J6">sum(IF(($P$3:$P$100=I6), $T$3:$T$100, 0))</f>
        <v>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249</v>
      </c>
      <c r="N6" s="328">
        <v>10264.0</v>
      </c>
      <c r="P6" s="329">
        <v>45808.0</v>
      </c>
      <c r="Q6" s="316" t="s">
        <v>123</v>
      </c>
      <c r="R6" s="316" t="s">
        <v>144</v>
      </c>
      <c r="S6" s="316" t="s">
        <v>51</v>
      </c>
      <c r="T6" s="316">
        <v>40.0</v>
      </c>
      <c r="U6" s="330" t="s">
        <v>160</v>
      </c>
      <c r="V6" s="136"/>
    </row>
    <row r="7">
      <c r="B7" s="317">
        <v>45805.0</v>
      </c>
      <c r="C7" s="142">
        <v>15.0</v>
      </c>
      <c r="D7" s="142">
        <v>10000.0</v>
      </c>
      <c r="E7" s="108" t="s">
        <v>120</v>
      </c>
      <c r="F7" s="174" t="s">
        <v>51</v>
      </c>
      <c r="H7" s="318" t="str">
        <f t="shared" si="1"/>
        <v>Thursday</v>
      </c>
      <c r="I7" s="319">
        <v>45806.0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2500</v>
      </c>
      <c r="N7" s="328"/>
      <c r="P7" s="329">
        <v>45808.0</v>
      </c>
      <c r="Q7" s="316" t="s">
        <v>119</v>
      </c>
      <c r="R7" s="316" t="s">
        <v>142</v>
      </c>
      <c r="S7" s="316" t="s">
        <v>51</v>
      </c>
      <c r="T7" s="316">
        <v>80.0</v>
      </c>
      <c r="U7" s="330" t="s">
        <v>161</v>
      </c>
      <c r="V7" s="136"/>
    </row>
    <row r="8">
      <c r="B8" s="317">
        <v>45808.0</v>
      </c>
      <c r="C8" s="108"/>
      <c r="D8" s="108">
        <v>1000.0</v>
      </c>
      <c r="E8" s="108" t="s">
        <v>120</v>
      </c>
      <c r="F8" s="174" t="s">
        <v>12</v>
      </c>
      <c r="H8" s="318" t="str">
        <f t="shared" si="1"/>
        <v>Friday</v>
      </c>
      <c r="I8" s="319">
        <v>45807.0</v>
      </c>
      <c r="J8" s="170">
        <f t="array" ref="J8">sum(IF(($P$3:$P$100=I8), $T$3:$T$100, 0))</f>
        <v>1140</v>
      </c>
      <c r="L8" s="331" t="s">
        <v>12</v>
      </c>
      <c r="M8" s="325">
        <f t="array" ref="M8">N8 - sum(IF(($E$4:$E$49=L8), $D$4:$D$39 + $C$4:$C$39, 0)) + sum(IF(($F$4:$F$49=L8), $D$4:$D$39, 0)) - sum(IF(($S$3:$S$100=L8), $T$3:$T$100, 0))</f>
        <v>11</v>
      </c>
      <c r="N8" s="332">
        <v>431.0</v>
      </c>
      <c r="P8" s="329">
        <v>45808.0</v>
      </c>
      <c r="Q8" s="316" t="s">
        <v>131</v>
      </c>
      <c r="R8" s="316" t="s">
        <v>23</v>
      </c>
      <c r="S8" s="316" t="s">
        <v>51</v>
      </c>
      <c r="T8" s="136">
        <f>10+20+300</f>
        <v>330</v>
      </c>
      <c r="U8" s="253"/>
      <c r="V8" s="136"/>
    </row>
    <row r="9">
      <c r="B9" s="317">
        <v>45808.0</v>
      </c>
      <c r="C9" s="108"/>
      <c r="D9" s="108">
        <v>103000.0</v>
      </c>
      <c r="E9" s="108" t="s">
        <v>120</v>
      </c>
      <c r="F9" s="174" t="s">
        <v>51</v>
      </c>
      <c r="H9" s="318" t="str">
        <f t="shared" si="1"/>
        <v>Saturday</v>
      </c>
      <c r="I9" s="319">
        <v>45808.0</v>
      </c>
      <c r="J9" s="170">
        <f t="array" ref="J9">sum(IF(($P$3:$P$100=I9), $T$3:$T$100, 0))</f>
        <v>104274</v>
      </c>
      <c r="L9" s="331" t="s">
        <v>65</v>
      </c>
      <c r="M9" s="325">
        <f t="array" ref="M9">N9 - sum(IF(($E$4:$E$49=L9), $D$4:$D$39 + $C$4:$C$39, 0)) + sum(IF(($F$4:$F$49=L9), $D$4:$D$39, 0)) - sum(IF(($S$3:$S$100=L9), $T$3:$T$100, 0))</f>
        <v>117</v>
      </c>
      <c r="N9" s="332">
        <v>117.0</v>
      </c>
      <c r="P9" s="329">
        <v>45808.0</v>
      </c>
      <c r="Q9" s="316" t="s">
        <v>131</v>
      </c>
      <c r="R9" s="316" t="s">
        <v>148</v>
      </c>
      <c r="S9" s="316" t="s">
        <v>51</v>
      </c>
      <c r="T9" s="136">
        <f>15+75+45</f>
        <v>135</v>
      </c>
      <c r="U9" s="253"/>
      <c r="V9" s="136"/>
    </row>
    <row r="10">
      <c r="B10" s="317">
        <v>45808.0</v>
      </c>
      <c r="C10" s="142"/>
      <c r="D10" s="142">
        <v>1750.0</v>
      </c>
      <c r="E10" s="108" t="s">
        <v>120</v>
      </c>
      <c r="F10" s="174" t="s">
        <v>51</v>
      </c>
      <c r="H10" s="318" t="str">
        <f t="shared" si="1"/>
        <v>Sunday</v>
      </c>
      <c r="I10" s="319">
        <v>45809.0</v>
      </c>
      <c r="J10" s="170">
        <f t="array" ref="J10">sum(IF(($P$3:$P$100=I10), $T$3:$T$100, 0))</f>
        <v>6000</v>
      </c>
      <c r="L10" s="333" t="s">
        <v>137</v>
      </c>
      <c r="M10" s="325">
        <f t="array" ref="M10">N10 - sum(IF(($E$4:$E$49=L10), $D$4:$D$39 + $C$4:$C$39, 0)) + sum(IF(($F$4:$F$49=L10), $D$4:$D$39, 0)) - sum(IF(($S$3:$S$100=L10), $T$3:$T$100, 0))</f>
        <v>150000</v>
      </c>
      <c r="N10" s="334">
        <v>150000.0</v>
      </c>
      <c r="P10" s="329">
        <v>45809.0</v>
      </c>
      <c r="Q10" s="316" t="s">
        <v>131</v>
      </c>
      <c r="R10" s="316" t="s">
        <v>131</v>
      </c>
      <c r="S10" s="316" t="s">
        <v>51</v>
      </c>
      <c r="T10" s="316">
        <v>5500.0</v>
      </c>
      <c r="U10" s="330" t="s">
        <v>162</v>
      </c>
      <c r="V10" s="136"/>
    </row>
    <row r="11">
      <c r="B11" s="317">
        <v>45810.0</v>
      </c>
      <c r="C11" s="108">
        <v>15.0</v>
      </c>
      <c r="D11" s="142">
        <v>20000.0</v>
      </c>
      <c r="E11" s="108" t="s">
        <v>120</v>
      </c>
      <c r="F11" s="174" t="s">
        <v>51</v>
      </c>
      <c r="H11" s="318" t="str">
        <f t="shared" si="1"/>
        <v>Monday</v>
      </c>
      <c r="I11" s="319">
        <v>45810.0</v>
      </c>
      <c r="J11" s="170">
        <f t="array" ref="J11">sum(IF(($P$3:$P$100=I11), $T$3:$T$100, 0))</f>
        <v>800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34">
        <v>2500.0</v>
      </c>
      <c r="P11" s="329">
        <v>45809.0</v>
      </c>
      <c r="Q11" s="316" t="s">
        <v>119</v>
      </c>
      <c r="R11" s="316" t="s">
        <v>141</v>
      </c>
      <c r="S11" s="316" t="s">
        <v>51</v>
      </c>
      <c r="T11" s="316">
        <v>500.0</v>
      </c>
      <c r="U11" s="330" t="s">
        <v>163</v>
      </c>
      <c r="V11" s="136"/>
    </row>
    <row r="12">
      <c r="B12" s="317">
        <v>45810.0</v>
      </c>
      <c r="C12" s="108"/>
      <c r="D12" s="108">
        <v>8000.0</v>
      </c>
      <c r="E12" s="108" t="s">
        <v>120</v>
      </c>
      <c r="F12" s="174" t="s">
        <v>51</v>
      </c>
      <c r="H12" s="318" t="str">
        <f t="shared" si="1"/>
        <v>Tuesday</v>
      </c>
      <c r="I12" s="319">
        <v>45811.0</v>
      </c>
      <c r="J12" s="170">
        <f t="array" ref="J12">sum(IF(($P$3:$P$100=I12), $T$3:$T$100, 0))</f>
        <v>8020</v>
      </c>
      <c r="L12" s="335" t="s">
        <v>136</v>
      </c>
      <c r="M12" s="336"/>
      <c r="N12" s="337"/>
      <c r="P12" s="329">
        <v>45810.0</v>
      </c>
      <c r="Q12" s="316" t="s">
        <v>119</v>
      </c>
      <c r="R12" s="316" t="s">
        <v>141</v>
      </c>
      <c r="S12" s="316" t="s">
        <v>51</v>
      </c>
      <c r="T12" s="316">
        <v>500.0</v>
      </c>
      <c r="U12" s="330" t="s">
        <v>163</v>
      </c>
      <c r="V12" s="136"/>
    </row>
    <row r="13">
      <c r="B13" s="317">
        <v>45811.0</v>
      </c>
      <c r="C13" s="108">
        <v>15.0</v>
      </c>
      <c r="D13" s="142">
        <v>20000.0</v>
      </c>
      <c r="E13" s="108" t="s">
        <v>120</v>
      </c>
      <c r="F13" s="174" t="s">
        <v>51</v>
      </c>
      <c r="H13" s="318" t="str">
        <f t="shared" si="1"/>
        <v>Wednesday</v>
      </c>
      <c r="I13" s="319">
        <v>45812.0</v>
      </c>
      <c r="J13" s="170">
        <f t="array" ref="J13">sum(IF(($P$3:$P$100=I13), $T$3:$T$100, 0))</f>
        <v>49918</v>
      </c>
      <c r="L13" s="338"/>
      <c r="M13" s="339"/>
      <c r="N13" s="340"/>
      <c r="P13" s="329">
        <v>45810.0</v>
      </c>
      <c r="Q13" s="316" t="s">
        <v>26</v>
      </c>
      <c r="R13" s="316" t="s">
        <v>26</v>
      </c>
      <c r="S13" s="316" t="s">
        <v>51</v>
      </c>
      <c r="T13" s="316">
        <v>300.0</v>
      </c>
      <c r="U13" s="253"/>
      <c r="V13" s="136"/>
    </row>
    <row r="14">
      <c r="B14" s="317">
        <v>45812.0</v>
      </c>
      <c r="C14" s="108">
        <v>15.0</v>
      </c>
      <c r="D14" s="142">
        <v>20000.0</v>
      </c>
      <c r="E14" s="108" t="s">
        <v>120</v>
      </c>
      <c r="F14" s="174" t="s">
        <v>51</v>
      </c>
      <c r="H14" s="318" t="str">
        <f t="shared" si="1"/>
        <v>Thursday</v>
      </c>
      <c r="I14" s="319">
        <v>45813.0</v>
      </c>
      <c r="J14" s="170">
        <f t="array" ref="J14">sum(IF(($P$3:$P$100=I14), $T$3:$T$100, 0))</f>
        <v>4720</v>
      </c>
      <c r="P14" s="329">
        <v>45811.0</v>
      </c>
      <c r="Q14" s="316" t="s">
        <v>131</v>
      </c>
      <c r="R14" s="316" t="s">
        <v>148</v>
      </c>
      <c r="S14" s="316" t="s">
        <v>51</v>
      </c>
      <c r="T14" s="316">
        <v>20.0</v>
      </c>
      <c r="U14" s="253"/>
      <c r="V14" s="136"/>
    </row>
    <row r="15">
      <c r="B15" s="317">
        <v>45812.0</v>
      </c>
      <c r="C15" s="108"/>
      <c r="D15" s="108">
        <v>1000.0</v>
      </c>
      <c r="E15" s="108" t="s">
        <v>120</v>
      </c>
      <c r="F15" s="174" t="s">
        <v>12</v>
      </c>
      <c r="H15" s="318" t="str">
        <f t="shared" si="1"/>
        <v>Friday</v>
      </c>
      <c r="I15" s="319">
        <v>45814.0</v>
      </c>
      <c r="J15" s="170">
        <f t="array" ref="J15">sum(IF(($P$3:$P$100=I15), $T$3:$T$100, 0))</f>
        <v>2437</v>
      </c>
      <c r="L15" s="137" t="s">
        <v>72</v>
      </c>
      <c r="M15" s="86"/>
      <c r="N15" s="138">
        <f>sum(N17:N22)</f>
        <v>0</v>
      </c>
      <c r="P15" s="329">
        <v>45812.0</v>
      </c>
      <c r="Q15" s="316" t="s">
        <v>123</v>
      </c>
      <c r="R15" s="316" t="s">
        <v>123</v>
      </c>
      <c r="S15" s="316" t="s">
        <v>51</v>
      </c>
      <c r="T15" s="316">
        <v>2000.0</v>
      </c>
      <c r="U15" s="330" t="s">
        <v>163</v>
      </c>
      <c r="V15" s="136"/>
    </row>
    <row r="16">
      <c r="B16" s="317">
        <v>45816.0</v>
      </c>
      <c r="C16" s="142"/>
      <c r="D16" s="142">
        <v>1000.0</v>
      </c>
      <c r="E16" s="108" t="s">
        <v>120</v>
      </c>
      <c r="F16" s="174" t="s">
        <v>12</v>
      </c>
      <c r="H16" s="318" t="str">
        <f t="shared" si="1"/>
        <v>Saturday</v>
      </c>
      <c r="I16" s="319">
        <v>45815.0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329">
        <v>45812.0</v>
      </c>
      <c r="Q16" s="316" t="s">
        <v>131</v>
      </c>
      <c r="R16" s="316" t="s">
        <v>131</v>
      </c>
      <c r="S16" s="316" t="s">
        <v>51</v>
      </c>
      <c r="T16" s="316">
        <v>5000.0</v>
      </c>
      <c r="U16" s="330" t="s">
        <v>164</v>
      </c>
      <c r="V16" s="136"/>
    </row>
    <row r="17">
      <c r="B17" s="317">
        <v>45818.0</v>
      </c>
      <c r="C17" s="108">
        <v>15.0</v>
      </c>
      <c r="D17" s="108">
        <v>10000.0</v>
      </c>
      <c r="E17" s="108" t="s">
        <v>120</v>
      </c>
      <c r="F17" s="174" t="s">
        <v>51</v>
      </c>
      <c r="H17" s="318" t="str">
        <f t="shared" si="1"/>
        <v>Sunday</v>
      </c>
      <c r="I17" s="319">
        <v>45816.0</v>
      </c>
      <c r="J17" s="170">
        <f t="array" ref="J17">sum(IF(($P$3:$P$100=I17), $T$3:$T$100, 0))</f>
        <v>680</v>
      </c>
      <c r="L17" s="108"/>
      <c r="M17" s="132"/>
      <c r="N17" s="103"/>
      <c r="P17" s="329">
        <v>45812.0</v>
      </c>
      <c r="Q17" s="316" t="s">
        <v>131</v>
      </c>
      <c r="R17" s="316" t="s">
        <v>131</v>
      </c>
      <c r="S17" s="316" t="s">
        <v>12</v>
      </c>
      <c r="T17" s="316">
        <v>580.0</v>
      </c>
      <c r="U17" s="330" t="s">
        <v>164</v>
      </c>
      <c r="V17" s="136"/>
    </row>
    <row r="18">
      <c r="B18" s="317">
        <v>45818.0</v>
      </c>
      <c r="C18" s="108">
        <v>15.0</v>
      </c>
      <c r="D18" s="108">
        <v>10000.0</v>
      </c>
      <c r="E18" s="108" t="s">
        <v>124</v>
      </c>
      <c r="F18" s="174" t="s">
        <v>51</v>
      </c>
      <c r="H18" s="318" t="str">
        <f t="shared" si="1"/>
        <v>Monday</v>
      </c>
      <c r="I18" s="319">
        <v>45817.0</v>
      </c>
      <c r="J18" s="170">
        <f t="array" ref="J18">sum(IF(($P$3:$P$100=I18), $T$3:$T$100, 0))</f>
        <v>3000</v>
      </c>
      <c r="L18" s="143"/>
      <c r="M18" s="132"/>
      <c r="N18" s="103"/>
      <c r="P18" s="329">
        <v>45812.0</v>
      </c>
      <c r="Q18" s="316" t="s">
        <v>131</v>
      </c>
      <c r="R18" s="316" t="s">
        <v>131</v>
      </c>
      <c r="S18" s="316" t="s">
        <v>51</v>
      </c>
      <c r="T18" s="316">
        <v>250.0</v>
      </c>
      <c r="U18" s="330" t="s">
        <v>165</v>
      </c>
      <c r="V18" s="136"/>
    </row>
    <row r="19">
      <c r="B19" s="317">
        <v>45814.0</v>
      </c>
      <c r="C19" s="112"/>
      <c r="D19" s="108">
        <v>3000.0</v>
      </c>
      <c r="E19" s="108" t="s">
        <v>120</v>
      </c>
      <c r="F19" s="174" t="s">
        <v>12</v>
      </c>
      <c r="H19" s="318" t="str">
        <f t="shared" si="1"/>
        <v>Tuesday</v>
      </c>
      <c r="I19" s="319">
        <v>45818.0</v>
      </c>
      <c r="J19" s="170">
        <f t="array" ref="J19">sum(IF(($P$3:$P$100=I19), $T$3:$T$100, 0))</f>
        <v>2140</v>
      </c>
      <c r="L19" s="148"/>
      <c r="M19" s="132"/>
      <c r="N19" s="103"/>
      <c r="P19" s="329">
        <v>45812.0</v>
      </c>
      <c r="Q19" s="316" t="s">
        <v>131</v>
      </c>
      <c r="R19" s="316" t="s">
        <v>131</v>
      </c>
      <c r="S19" s="316" t="s">
        <v>51</v>
      </c>
      <c r="T19" s="316">
        <v>3910.0</v>
      </c>
      <c r="U19" s="330" t="s">
        <v>166</v>
      </c>
      <c r="V19" s="136"/>
    </row>
    <row r="20">
      <c r="B20" s="317">
        <v>45819.0</v>
      </c>
      <c r="C20" s="142"/>
      <c r="D20" s="142">
        <v>2500.0</v>
      </c>
      <c r="E20" s="108" t="s">
        <v>120</v>
      </c>
      <c r="F20" s="174" t="s">
        <v>128</v>
      </c>
      <c r="H20" s="318" t="str">
        <f t="shared" si="1"/>
        <v>Wednesday</v>
      </c>
      <c r="I20" s="319">
        <v>45819.0</v>
      </c>
      <c r="J20" s="170">
        <f t="array" ref="J20">sum(IF(($P$3:$P$100=I20), $T$4:$T$100, 0))</f>
        <v>487</v>
      </c>
      <c r="L20" s="148"/>
      <c r="M20" s="132"/>
      <c r="N20" s="185"/>
      <c r="P20" s="329">
        <v>45812.0</v>
      </c>
      <c r="Q20" s="316" t="s">
        <v>131</v>
      </c>
      <c r="R20" s="316" t="s">
        <v>23</v>
      </c>
      <c r="S20" s="316" t="s">
        <v>51</v>
      </c>
      <c r="T20" s="136">
        <f>10+10+30+30+1600</f>
        <v>1680</v>
      </c>
      <c r="U20" s="330" t="s">
        <v>167</v>
      </c>
      <c r="V20" s="136"/>
    </row>
    <row r="21">
      <c r="B21" s="317">
        <v>45814.0</v>
      </c>
      <c r="C21" s="108"/>
      <c r="D21" s="108">
        <v>3000.0</v>
      </c>
      <c r="E21" s="108" t="s">
        <v>12</v>
      </c>
      <c r="F21" s="174" t="s">
        <v>140</v>
      </c>
      <c r="H21" s="318" t="str">
        <f t="shared" si="1"/>
        <v>Thursday</v>
      </c>
      <c r="I21" s="319">
        <v>45820.0</v>
      </c>
      <c r="J21" s="170">
        <f t="array" ref="J21">sum(IF(($P$3:$P$100=I21), $T$4:$T$100, 0))</f>
        <v>140</v>
      </c>
      <c r="L21" s="112"/>
      <c r="M21" s="102"/>
      <c r="N21" s="48"/>
      <c r="P21" s="329">
        <v>45812.0</v>
      </c>
      <c r="Q21" s="316" t="s">
        <v>131</v>
      </c>
      <c r="R21" s="316" t="s">
        <v>131</v>
      </c>
      <c r="S21" s="316" t="s">
        <v>51</v>
      </c>
      <c r="T21" s="316">
        <v>35000.0</v>
      </c>
      <c r="U21" s="330" t="s">
        <v>162</v>
      </c>
      <c r="V21" s="136"/>
    </row>
    <row r="22">
      <c r="B22" s="317">
        <v>45821.0</v>
      </c>
      <c r="C22" s="112"/>
      <c r="D22" s="108">
        <v>500.0</v>
      </c>
      <c r="E22" s="108" t="s">
        <v>120</v>
      </c>
      <c r="F22" s="174" t="s">
        <v>12</v>
      </c>
      <c r="H22" s="318" t="str">
        <f t="shared" si="1"/>
        <v>Friday</v>
      </c>
      <c r="I22" s="319">
        <v>45821.0</v>
      </c>
      <c r="J22" s="170">
        <f t="array" ref="J22">sum(IF(($P$3:$P$100=I22), $T$4:$T$100, 0))</f>
        <v>1510</v>
      </c>
      <c r="L22" s="127"/>
      <c r="M22" s="133"/>
      <c r="N22" s="68"/>
      <c r="P22" s="329">
        <v>45812.0</v>
      </c>
      <c r="Q22" s="316" t="s">
        <v>123</v>
      </c>
      <c r="R22" s="316" t="s">
        <v>123</v>
      </c>
      <c r="S22" s="316" t="s">
        <v>51</v>
      </c>
      <c r="T22" s="136">
        <f>20+200+830</f>
        <v>1050</v>
      </c>
      <c r="U22" s="330" t="s">
        <v>168</v>
      </c>
      <c r="V22" s="136"/>
    </row>
    <row r="23">
      <c r="B23" s="317">
        <v>45829.0</v>
      </c>
      <c r="C23" s="108"/>
      <c r="D23" s="108">
        <v>1000.0</v>
      </c>
      <c r="E23" s="108" t="s">
        <v>120</v>
      </c>
      <c r="F23" s="174" t="s">
        <v>12</v>
      </c>
      <c r="H23" s="318" t="str">
        <f t="shared" si="1"/>
        <v>Saturday</v>
      </c>
      <c r="I23" s="319">
        <v>45822.0</v>
      </c>
      <c r="J23" s="170">
        <f t="array" ref="J23">sum(IF(($P$3:$P$100=I23), $T$4:$T$100, 0))</f>
        <v>735</v>
      </c>
      <c r="P23" s="329">
        <v>45812.0</v>
      </c>
      <c r="Q23" s="316" t="s">
        <v>119</v>
      </c>
      <c r="R23" s="316" t="s">
        <v>135</v>
      </c>
      <c r="S23" s="316" t="s">
        <v>51</v>
      </c>
      <c r="T23" s="136">
        <f>155+90+80+40</f>
        <v>365</v>
      </c>
      <c r="U23" s="253"/>
      <c r="V23" s="136"/>
    </row>
    <row r="24">
      <c r="B24" s="317"/>
      <c r="C24" s="108"/>
      <c r="D24" s="108"/>
      <c r="E24" s="108"/>
      <c r="F24" s="174"/>
      <c r="H24" s="318" t="str">
        <f t="shared" si="1"/>
        <v>Sunday</v>
      </c>
      <c r="I24" s="319">
        <v>45823.0</v>
      </c>
      <c r="J24" s="170">
        <f t="array" ref="J24">sum(IF(($P$3:$P$100=I24), $T$4:$T$100, 0))</f>
        <v>130</v>
      </c>
      <c r="L24" s="137" t="s">
        <v>84</v>
      </c>
      <c r="M24" s="86"/>
      <c r="N24" s="138">
        <f>sum(N26:N31)</f>
        <v>0</v>
      </c>
      <c r="P24" s="329">
        <v>45812.0</v>
      </c>
      <c r="Q24" s="316" t="s">
        <v>119</v>
      </c>
      <c r="R24" s="316" t="s">
        <v>142</v>
      </c>
      <c r="S24" s="316" t="s">
        <v>51</v>
      </c>
      <c r="T24" s="136">
        <f>25+10</f>
        <v>35</v>
      </c>
      <c r="U24" s="253"/>
      <c r="V24" s="136"/>
    </row>
    <row r="25">
      <c r="B25" s="317"/>
      <c r="C25" s="112"/>
      <c r="D25" s="112"/>
      <c r="E25" s="108"/>
      <c r="F25" s="174"/>
      <c r="H25" s="318" t="str">
        <f t="shared" si="1"/>
        <v>Monday</v>
      </c>
      <c r="I25" s="319">
        <v>45824.0</v>
      </c>
      <c r="J25" s="170">
        <f t="array" ref="J25">sum(IF(($P$3:$P$100=I25), $T$4:$T$100, 0))</f>
        <v>600</v>
      </c>
      <c r="L25" s="139" t="s">
        <v>6</v>
      </c>
      <c r="M25" s="140" t="s">
        <v>85</v>
      </c>
      <c r="N25" s="141" t="s">
        <v>35</v>
      </c>
      <c r="P25" s="329">
        <v>45813.0</v>
      </c>
      <c r="Q25" s="316" t="s">
        <v>119</v>
      </c>
      <c r="R25" s="316" t="s">
        <v>135</v>
      </c>
      <c r="S25" s="316" t="s">
        <v>51</v>
      </c>
      <c r="T25" s="136">
        <f>350+400+2000+20+500</f>
        <v>3270</v>
      </c>
      <c r="U25" s="253"/>
      <c r="V25" s="136"/>
    </row>
    <row r="26">
      <c r="B26" s="317"/>
      <c r="C26" s="112"/>
      <c r="D26" s="112"/>
      <c r="E26" s="108"/>
      <c r="F26" s="174"/>
      <c r="H26" s="318" t="str">
        <f t="shared" si="1"/>
        <v>Tuesday</v>
      </c>
      <c r="I26" s="319">
        <v>45825.0</v>
      </c>
      <c r="J26" s="170">
        <f t="array" ref="J26">sum(IF(($P$3:$P$100=I26), $T$4:$T$100, 0))</f>
        <v>20</v>
      </c>
      <c r="L26" s="152"/>
      <c r="M26" s="47"/>
      <c r="N26" s="48"/>
      <c r="P26" s="329">
        <v>45813.0</v>
      </c>
      <c r="Q26" s="316" t="s">
        <v>123</v>
      </c>
      <c r="R26" s="316" t="s">
        <v>144</v>
      </c>
      <c r="S26" s="316" t="s">
        <v>51</v>
      </c>
      <c r="T26" s="316">
        <v>130.0</v>
      </c>
      <c r="U26" s="330" t="s">
        <v>169</v>
      </c>
      <c r="V26" s="136"/>
    </row>
    <row r="27">
      <c r="B27" s="317"/>
      <c r="C27" s="112"/>
      <c r="D27" s="112"/>
      <c r="E27" s="108"/>
      <c r="F27" s="174"/>
      <c r="H27" s="318" t="str">
        <f t="shared" si="1"/>
        <v>Wednesday</v>
      </c>
      <c r="I27" s="319">
        <v>45826.0</v>
      </c>
      <c r="J27" s="170">
        <f t="array" ref="J27">sum(IF(($P$3:$P$100=I27), $T$4:$T$100, 0))</f>
        <v>400</v>
      </c>
      <c r="L27" s="152"/>
      <c r="M27" s="47"/>
      <c r="N27" s="48"/>
      <c r="P27" s="329">
        <v>45813.0</v>
      </c>
      <c r="Q27" s="316" t="s">
        <v>123</v>
      </c>
      <c r="R27" s="316" t="s">
        <v>123</v>
      </c>
      <c r="S27" s="316" t="s">
        <v>51</v>
      </c>
      <c r="T27" s="316">
        <f>100+70</f>
        <v>170</v>
      </c>
      <c r="U27" s="330" t="s">
        <v>170</v>
      </c>
      <c r="V27" s="136"/>
    </row>
    <row r="28">
      <c r="B28" s="317"/>
      <c r="C28" s="112"/>
      <c r="D28" s="112"/>
      <c r="E28" s="108"/>
      <c r="F28" s="174"/>
      <c r="H28" s="318" t="str">
        <f t="shared" si="1"/>
        <v>Thursday</v>
      </c>
      <c r="I28" s="319">
        <v>45827.0</v>
      </c>
      <c r="J28" s="170">
        <f t="array" ref="J28">sum(IF(($P$3:$P$100=I28), $T$4:$T$100, 0))</f>
        <v>250</v>
      </c>
      <c r="L28" s="152"/>
      <c r="M28" s="47"/>
      <c r="N28" s="48"/>
      <c r="P28" s="329">
        <v>45813.0</v>
      </c>
      <c r="Q28" s="316" t="s">
        <v>119</v>
      </c>
      <c r="R28" s="316" t="s">
        <v>142</v>
      </c>
      <c r="S28" s="316" t="s">
        <v>51</v>
      </c>
      <c r="T28" s="136">
        <f>200+200+50</f>
        <v>450</v>
      </c>
      <c r="U28" s="330" t="s">
        <v>171</v>
      </c>
      <c r="V28" s="136"/>
    </row>
    <row r="29">
      <c r="B29" s="317"/>
      <c r="C29" s="108"/>
      <c r="D29" s="108"/>
      <c r="E29" s="108"/>
      <c r="F29" s="174"/>
      <c r="H29" s="318" t="str">
        <f t="shared" si="1"/>
        <v>Friday</v>
      </c>
      <c r="I29" s="319">
        <v>45828.0</v>
      </c>
      <c r="J29" s="170">
        <f t="array" ref="J29">sum(IF(($P$3:$P$100=I29), $T$4:$T$100, 0))</f>
        <v>20</v>
      </c>
      <c r="L29" s="152"/>
      <c r="M29" s="47"/>
      <c r="N29" s="48"/>
      <c r="P29" s="329">
        <v>45813.0</v>
      </c>
      <c r="Q29" s="316" t="s">
        <v>119</v>
      </c>
      <c r="R29" s="316" t="s">
        <v>138</v>
      </c>
      <c r="S29" s="316" t="s">
        <v>51</v>
      </c>
      <c r="T29" s="316">
        <v>200.0</v>
      </c>
      <c r="U29" s="253"/>
      <c r="V29" s="136"/>
    </row>
    <row r="30">
      <c r="B30" s="317"/>
      <c r="C30" s="112"/>
      <c r="D30" s="112"/>
      <c r="E30" s="108"/>
      <c r="F30" s="174"/>
      <c r="H30" s="318" t="str">
        <f t="shared" si="1"/>
        <v>Saturday</v>
      </c>
      <c r="I30" s="319">
        <v>45829.0</v>
      </c>
      <c r="J30" s="170">
        <f t="array" ref="J30">sum(IF(($P$3:$P$100=I30), $T$4:$T$100, 0))</f>
        <v>600</v>
      </c>
      <c r="L30" s="152"/>
      <c r="M30" s="47"/>
      <c r="N30" s="48"/>
      <c r="P30" s="329">
        <v>45811.0</v>
      </c>
      <c r="Q30" s="316" t="s">
        <v>114</v>
      </c>
      <c r="R30" s="316" t="s">
        <v>115</v>
      </c>
      <c r="S30" s="316" t="s">
        <v>51</v>
      </c>
      <c r="T30" s="316">
        <v>8000.0</v>
      </c>
      <c r="U30" s="330" t="s">
        <v>77</v>
      </c>
      <c r="V30" s="136"/>
    </row>
    <row r="31">
      <c r="B31" s="317"/>
      <c r="C31" s="108"/>
      <c r="D31" s="108"/>
      <c r="E31" s="108"/>
      <c r="F31" s="174"/>
      <c r="H31" s="318" t="str">
        <f t="shared" si="1"/>
        <v>Sunday</v>
      </c>
      <c r="I31" s="319">
        <v>45830.0</v>
      </c>
      <c r="J31" s="170">
        <f t="array" ref="J31">sum(IF(($P$3:$P$100=I31), $T$4:$T$100, 0))</f>
        <v>410</v>
      </c>
      <c r="L31" s="153"/>
      <c r="M31" s="154"/>
      <c r="N31" s="68"/>
      <c r="P31" s="329">
        <v>45814.0</v>
      </c>
      <c r="Q31" s="316" t="s">
        <v>26</v>
      </c>
      <c r="R31" s="316" t="s">
        <v>26</v>
      </c>
      <c r="S31" s="316" t="s">
        <v>51</v>
      </c>
      <c r="T31" s="316">
        <v>965.0</v>
      </c>
      <c r="U31" s="330" t="s">
        <v>172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Monday</v>
      </c>
      <c r="I32" s="319">
        <v>45831.0</v>
      </c>
      <c r="J32" s="170">
        <f t="array" ref="J32">sum(IF(($P$3:$P$100=I32), $T$4:$T$100, 0))</f>
        <v>125</v>
      </c>
      <c r="P32" s="329">
        <v>45808.0</v>
      </c>
      <c r="Q32" s="316" t="s">
        <v>114</v>
      </c>
      <c r="R32" s="316" t="s">
        <v>122</v>
      </c>
      <c r="S32" s="316" t="s">
        <v>12</v>
      </c>
      <c r="T32" s="316">
        <v>491.0</v>
      </c>
      <c r="U32" s="253"/>
      <c r="V32" s="136"/>
    </row>
    <row r="33">
      <c r="B33" s="317"/>
      <c r="C33" s="108"/>
      <c r="D33" s="108"/>
      <c r="E33" s="108"/>
      <c r="F33" s="174"/>
      <c r="H33" s="318" t="str">
        <f t="shared" si="1"/>
        <v>Tuesday</v>
      </c>
      <c r="I33" s="319">
        <v>45832.0</v>
      </c>
      <c r="J33" s="170">
        <f t="array" ref="J33">sum(IF(($P$3:$P$100=I33), $T$4:$T$100, 0))</f>
        <v>1201</v>
      </c>
      <c r="L33" s="137"/>
      <c r="M33" s="86"/>
      <c r="N33" s="138">
        <f>sum(N35:N40)</f>
        <v>0</v>
      </c>
      <c r="P33" s="329">
        <v>45808.0</v>
      </c>
      <c r="Q33" s="316" t="s">
        <v>127</v>
      </c>
      <c r="R33" s="316" t="s">
        <v>146</v>
      </c>
      <c r="S33" s="316" t="s">
        <v>12</v>
      </c>
      <c r="T33" s="316">
        <v>148.0</v>
      </c>
      <c r="U33" s="253"/>
      <c r="V33" s="136"/>
    </row>
    <row r="34">
      <c r="B34" s="317"/>
      <c r="C34" s="112"/>
      <c r="D34" s="112"/>
      <c r="E34" s="108"/>
      <c r="F34" s="174"/>
      <c r="H34" s="318" t="str">
        <f t="shared" si="1"/>
        <v>Wednesday</v>
      </c>
      <c r="I34" s="319">
        <v>45833.0</v>
      </c>
      <c r="J34" s="170">
        <f t="array" ref="J34">sum(IF(($P$3:$P$100=I34), $T$4:$T$100, 0))</f>
        <v>100</v>
      </c>
      <c r="L34" s="139"/>
      <c r="M34" s="140"/>
      <c r="N34" s="141"/>
      <c r="P34" s="329">
        <v>45808.0</v>
      </c>
      <c r="Q34" s="316" t="s">
        <v>127</v>
      </c>
      <c r="R34" s="316" t="s">
        <v>146</v>
      </c>
      <c r="S34" s="316" t="s">
        <v>12</v>
      </c>
      <c r="T34" s="316">
        <v>50.0</v>
      </c>
      <c r="U34" s="253"/>
      <c r="V34" s="136"/>
    </row>
    <row r="35">
      <c r="B35" s="317"/>
      <c r="C35" s="112"/>
      <c r="D35" s="112"/>
      <c r="E35" s="108"/>
      <c r="F35" s="174"/>
      <c r="H35" s="318" t="str">
        <f t="shared" si="1"/>
        <v>Thursday</v>
      </c>
      <c r="I35" s="319">
        <v>45834.0</v>
      </c>
      <c r="J35" s="170">
        <f t="array" ref="J35">sum(IF(($P$3:$P$100=I35), $T$4:$T$100, 0))</f>
        <v>0</v>
      </c>
      <c r="L35" s="293"/>
      <c r="M35" s="316"/>
      <c r="N35" s="341"/>
      <c r="P35" s="329">
        <v>45812.0</v>
      </c>
      <c r="Q35" s="316" t="s">
        <v>127</v>
      </c>
      <c r="R35" s="316" t="s">
        <v>146</v>
      </c>
      <c r="S35" s="316" t="s">
        <v>12</v>
      </c>
      <c r="T35" s="316">
        <v>48.0</v>
      </c>
      <c r="U35" s="253"/>
      <c r="V35" s="136"/>
    </row>
    <row r="36">
      <c r="B36" s="317"/>
      <c r="C36" s="112"/>
      <c r="D36" s="112"/>
      <c r="E36" s="108"/>
      <c r="F36" s="174"/>
      <c r="H36" s="342"/>
      <c r="I36" s="155"/>
      <c r="J36" s="174"/>
      <c r="L36" s="343"/>
      <c r="M36" s="316"/>
      <c r="N36" s="341"/>
      <c r="P36" s="329">
        <v>45813.0</v>
      </c>
      <c r="Q36" s="316" t="s">
        <v>114</v>
      </c>
      <c r="R36" s="316" t="s">
        <v>118</v>
      </c>
      <c r="S36" s="316" t="s">
        <v>12</v>
      </c>
      <c r="T36" s="316">
        <v>500.0</v>
      </c>
      <c r="U36" s="253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329">
        <v>45814.0</v>
      </c>
      <c r="Q37" s="316" t="s">
        <v>119</v>
      </c>
      <c r="R37" s="316" t="s">
        <v>135</v>
      </c>
      <c r="S37" s="316" t="s">
        <v>51</v>
      </c>
      <c r="T37" s="136">
        <f>250+190+275+40+40+20+360</f>
        <v>1175</v>
      </c>
      <c r="U37" s="253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329">
        <v>45814.0</v>
      </c>
      <c r="Q38" s="316" t="s">
        <v>26</v>
      </c>
      <c r="R38" s="316" t="s">
        <v>26</v>
      </c>
      <c r="S38" s="316" t="s">
        <v>51</v>
      </c>
      <c r="T38" s="136">
        <f>20+20+15</f>
        <v>55</v>
      </c>
      <c r="U38" s="253"/>
      <c r="V38" s="136"/>
    </row>
    <row r="39">
      <c r="B39" s="191"/>
      <c r="C39" s="127"/>
      <c r="D39" s="127"/>
      <c r="E39" s="123"/>
      <c r="F39" s="192"/>
      <c r="H39" s="346"/>
      <c r="I39" s="156"/>
      <c r="J39" s="192"/>
      <c r="L39" s="287"/>
      <c r="M39" s="289"/>
      <c r="N39" s="128"/>
      <c r="P39" s="329">
        <v>45816.0</v>
      </c>
      <c r="Q39" s="316" t="s">
        <v>26</v>
      </c>
      <c r="R39" s="316" t="s">
        <v>26</v>
      </c>
      <c r="S39" s="316" t="s">
        <v>12</v>
      </c>
      <c r="T39" s="316">
        <v>500.0</v>
      </c>
      <c r="U39" s="253"/>
      <c r="V39" s="136"/>
    </row>
    <row r="40">
      <c r="P40" s="329">
        <v>45816.0</v>
      </c>
      <c r="Q40" s="316" t="s">
        <v>131</v>
      </c>
      <c r="R40" s="316" t="s">
        <v>131</v>
      </c>
      <c r="S40" s="316" t="s">
        <v>51</v>
      </c>
      <c r="T40" s="316">
        <v>180.0</v>
      </c>
      <c r="U40" s="253"/>
      <c r="V40" s="136"/>
    </row>
    <row r="41">
      <c r="P41" s="329">
        <v>45817.0</v>
      </c>
      <c r="Q41" s="316" t="s">
        <v>119</v>
      </c>
      <c r="R41" s="316" t="s">
        <v>141</v>
      </c>
      <c r="S41" s="316" t="s">
        <v>51</v>
      </c>
      <c r="T41" s="316">
        <v>3000.0</v>
      </c>
      <c r="U41" s="253"/>
      <c r="V41" s="136"/>
    </row>
    <row r="42">
      <c r="B42" s="347" t="s">
        <v>173</v>
      </c>
      <c r="C42" s="86"/>
      <c r="D42" s="86"/>
      <c r="E42" s="86"/>
      <c r="F42" s="86"/>
      <c r="G42" s="86"/>
      <c r="H42" s="86"/>
      <c r="I42" s="86"/>
      <c r="J42" s="86"/>
      <c r="K42" s="81"/>
      <c r="P42" s="329">
        <v>45818.0</v>
      </c>
      <c r="Q42" s="316" t="s">
        <v>119</v>
      </c>
      <c r="R42" s="316" t="s">
        <v>141</v>
      </c>
      <c r="S42" s="316" t="s">
        <v>51</v>
      </c>
      <c r="T42" s="316">
        <v>2000.0</v>
      </c>
      <c r="U42" s="253"/>
      <c r="V42" s="136"/>
    </row>
    <row r="43">
      <c r="B43" s="348"/>
      <c r="C43" s="94"/>
      <c r="D43" s="94"/>
      <c r="E43" s="94"/>
      <c r="F43" s="94"/>
      <c r="G43" s="94"/>
      <c r="H43" s="94"/>
      <c r="I43" s="94"/>
      <c r="J43" s="94"/>
      <c r="K43" s="93"/>
      <c r="P43" s="329">
        <v>45818.0</v>
      </c>
      <c r="Q43" s="316" t="s">
        <v>123</v>
      </c>
      <c r="R43" s="316" t="s">
        <v>123</v>
      </c>
      <c r="S43" s="316" t="s">
        <v>51</v>
      </c>
      <c r="T43" s="316">
        <v>50.0</v>
      </c>
      <c r="U43" s="253"/>
      <c r="V43" s="136"/>
    </row>
    <row r="44">
      <c r="B44" s="349" t="s">
        <v>107</v>
      </c>
      <c r="C44" s="158"/>
      <c r="D44" s="159"/>
      <c r="E44" s="350" t="s">
        <v>174</v>
      </c>
      <c r="F44" s="351" t="s">
        <v>108</v>
      </c>
      <c r="G44" s="158"/>
      <c r="H44" s="159"/>
      <c r="I44" s="350" t="s">
        <v>4</v>
      </c>
      <c r="J44" s="352" t="s">
        <v>175</v>
      </c>
      <c r="K44" s="159"/>
      <c r="P44" s="329">
        <v>45818.0</v>
      </c>
      <c r="Q44" s="316" t="s">
        <v>119</v>
      </c>
      <c r="R44" s="316" t="s">
        <v>142</v>
      </c>
      <c r="S44" s="316" t="s">
        <v>51</v>
      </c>
      <c r="T44" s="316">
        <v>50.0</v>
      </c>
      <c r="U44" s="253"/>
      <c r="V44" s="136"/>
    </row>
    <row r="45">
      <c r="B45" s="353" t="s">
        <v>114</v>
      </c>
      <c r="C45" s="86"/>
      <c r="D45" s="81"/>
      <c r="E45" s="354" t="s">
        <v>176</v>
      </c>
      <c r="F45" s="355" t="str">
        <f t="array" ref="F45:F73">INDIRECT("Subcategory")</f>
        <v>HouseRent</v>
      </c>
      <c r="G45" s="86"/>
      <c r="H45" s="81"/>
      <c r="I45" s="356"/>
      <c r="J45" s="357"/>
      <c r="K45" s="81"/>
      <c r="P45" s="329">
        <v>45818.0</v>
      </c>
      <c r="Q45" s="316" t="s">
        <v>131</v>
      </c>
      <c r="R45" s="316" t="s">
        <v>23</v>
      </c>
      <c r="S45" s="316" t="s">
        <v>51</v>
      </c>
      <c r="T45" s="136">
        <f>30+10</f>
        <v>40</v>
      </c>
      <c r="U45" s="253"/>
      <c r="V45" s="136"/>
    </row>
    <row r="46">
      <c r="B46" s="358"/>
      <c r="D46" s="359"/>
      <c r="E46" s="360"/>
      <c r="F46" s="361" t="s">
        <v>118</v>
      </c>
      <c r="H46" s="359"/>
      <c r="I46" s="362"/>
      <c r="J46" s="363"/>
      <c r="K46" s="359"/>
      <c r="P46" s="329">
        <v>45819.0</v>
      </c>
      <c r="Q46" s="316" t="s">
        <v>114</v>
      </c>
      <c r="R46" s="316" t="s">
        <v>115</v>
      </c>
      <c r="S46" s="316" t="s">
        <v>51</v>
      </c>
      <c r="T46" s="316">
        <v>18000.0</v>
      </c>
      <c r="U46" s="253"/>
      <c r="V46" s="136"/>
    </row>
    <row r="47">
      <c r="B47" s="358"/>
      <c r="D47" s="359"/>
      <c r="E47" s="360"/>
      <c r="F47" s="361" t="s">
        <v>122</v>
      </c>
      <c r="H47" s="359"/>
      <c r="I47" s="362"/>
      <c r="J47" s="363"/>
      <c r="K47" s="359"/>
      <c r="P47" s="329">
        <v>45819.0</v>
      </c>
      <c r="Q47" s="316" t="s">
        <v>119</v>
      </c>
      <c r="R47" s="316" t="s">
        <v>138</v>
      </c>
      <c r="S47" s="316" t="s">
        <v>51</v>
      </c>
      <c r="T47" s="316">
        <v>245.0</v>
      </c>
      <c r="U47" s="253"/>
      <c r="V47" s="136"/>
    </row>
    <row r="48">
      <c r="B48" s="358"/>
      <c r="D48" s="359"/>
      <c r="E48" s="360"/>
      <c r="F48" s="361" t="s">
        <v>126</v>
      </c>
      <c r="H48" s="359"/>
      <c r="I48" s="362"/>
      <c r="J48" s="363"/>
      <c r="K48" s="359"/>
      <c r="P48" s="329">
        <v>45814.0</v>
      </c>
      <c r="Q48" s="316" t="s">
        <v>127</v>
      </c>
      <c r="R48" s="316" t="s">
        <v>146</v>
      </c>
      <c r="S48" s="316" t="s">
        <v>12</v>
      </c>
      <c r="T48" s="316">
        <v>242.0</v>
      </c>
      <c r="U48" s="253"/>
      <c r="V48" s="136"/>
    </row>
    <row r="49">
      <c r="B49" s="358"/>
      <c r="D49" s="359"/>
      <c r="E49" s="360"/>
      <c r="F49" s="361" t="s">
        <v>130</v>
      </c>
      <c r="H49" s="359"/>
      <c r="I49" s="362"/>
      <c r="J49" s="363"/>
      <c r="K49" s="359"/>
      <c r="P49" s="329">
        <v>45821.0</v>
      </c>
      <c r="Q49" s="316" t="s">
        <v>26</v>
      </c>
      <c r="R49" s="316" t="s">
        <v>26</v>
      </c>
      <c r="S49" s="316" t="s">
        <v>51</v>
      </c>
      <c r="T49" s="316">
        <v>20.0</v>
      </c>
      <c r="U49" s="253"/>
      <c r="V49" s="136"/>
    </row>
    <row r="50">
      <c r="B50" s="348"/>
      <c r="C50" s="94"/>
      <c r="D50" s="93"/>
      <c r="E50" s="14"/>
      <c r="F50" s="364" t="s">
        <v>133</v>
      </c>
      <c r="G50" s="94"/>
      <c r="H50" s="93"/>
      <c r="I50" s="365"/>
      <c r="J50" s="366"/>
      <c r="K50" s="93"/>
      <c r="P50" s="329">
        <v>45821.0</v>
      </c>
      <c r="Q50" s="316" t="s">
        <v>119</v>
      </c>
      <c r="R50" s="316" t="s">
        <v>142</v>
      </c>
      <c r="S50" s="316" t="s">
        <v>51</v>
      </c>
      <c r="T50" s="136">
        <f>220</f>
        <v>220</v>
      </c>
      <c r="U50" s="253"/>
      <c r="V50" s="136"/>
    </row>
    <row r="51">
      <c r="B51" s="353" t="s">
        <v>119</v>
      </c>
      <c r="C51" s="86"/>
      <c r="D51" s="81"/>
      <c r="E51" s="356"/>
      <c r="F51" s="355" t="s">
        <v>135</v>
      </c>
      <c r="G51" s="86"/>
      <c r="H51" s="81"/>
      <c r="I51" s="356"/>
      <c r="J51" s="357"/>
      <c r="K51" s="81"/>
      <c r="P51" s="329">
        <v>45821.0</v>
      </c>
      <c r="Q51" s="316" t="s">
        <v>114</v>
      </c>
      <c r="R51" s="316" t="s">
        <v>130</v>
      </c>
      <c r="S51" s="316" t="s">
        <v>12</v>
      </c>
      <c r="T51" s="316">
        <v>840.0</v>
      </c>
      <c r="U51" s="253"/>
      <c r="V51" s="136"/>
    </row>
    <row r="52">
      <c r="B52" s="358"/>
      <c r="D52" s="359"/>
      <c r="E52" s="360"/>
      <c r="F52" s="361" t="s">
        <v>138</v>
      </c>
      <c r="H52" s="359"/>
      <c r="I52" s="362"/>
      <c r="J52" s="363"/>
      <c r="K52" s="359"/>
      <c r="P52" s="329">
        <v>45821.0</v>
      </c>
      <c r="Q52" s="316" t="s">
        <v>127</v>
      </c>
      <c r="R52" s="316" t="s">
        <v>147</v>
      </c>
      <c r="S52" s="316" t="s">
        <v>12</v>
      </c>
      <c r="T52" s="316">
        <v>208.0</v>
      </c>
      <c r="U52" s="253"/>
      <c r="V52" s="136"/>
    </row>
    <row r="53">
      <c r="B53" s="358"/>
      <c r="D53" s="359"/>
      <c r="E53" s="360"/>
      <c r="F53" s="361" t="s">
        <v>141</v>
      </c>
      <c r="H53" s="359"/>
      <c r="I53" s="362"/>
      <c r="J53" s="363"/>
      <c r="K53" s="359"/>
      <c r="P53" s="329">
        <v>45820.0</v>
      </c>
      <c r="Q53" s="316" t="s">
        <v>127</v>
      </c>
      <c r="R53" s="316" t="s">
        <v>146</v>
      </c>
      <c r="S53" s="316" t="s">
        <v>12</v>
      </c>
      <c r="T53" s="316">
        <v>242.0</v>
      </c>
      <c r="U53" s="253"/>
      <c r="V53" s="136"/>
    </row>
    <row r="54">
      <c r="B54" s="348"/>
      <c r="C54" s="94"/>
      <c r="D54" s="93"/>
      <c r="E54" s="14"/>
      <c r="F54" s="364" t="s">
        <v>142</v>
      </c>
      <c r="G54" s="94"/>
      <c r="H54" s="93"/>
      <c r="I54" s="365"/>
      <c r="J54" s="366"/>
      <c r="K54" s="93"/>
      <c r="P54" s="329">
        <v>45822.0</v>
      </c>
      <c r="Q54" s="316" t="s">
        <v>131</v>
      </c>
      <c r="R54" s="316" t="s">
        <v>23</v>
      </c>
      <c r="S54" s="316" t="s">
        <v>51</v>
      </c>
      <c r="T54" s="136">
        <f>75+65</f>
        <v>140</v>
      </c>
      <c r="U54" s="253"/>
      <c r="V54" s="136"/>
    </row>
    <row r="55">
      <c r="B55" s="353" t="s">
        <v>123</v>
      </c>
      <c r="C55" s="86"/>
      <c r="D55" s="81"/>
      <c r="E55" s="356"/>
      <c r="F55" s="355" t="s">
        <v>123</v>
      </c>
      <c r="G55" s="86"/>
      <c r="H55" s="81"/>
      <c r="I55" s="356"/>
      <c r="J55" s="357"/>
      <c r="K55" s="81"/>
      <c r="P55" s="329">
        <v>45822.0</v>
      </c>
      <c r="Q55" s="316" t="s">
        <v>131</v>
      </c>
      <c r="R55" s="316" t="s">
        <v>148</v>
      </c>
      <c r="S55" s="316" t="s">
        <v>51</v>
      </c>
      <c r="T55" s="316">
        <v>20.0</v>
      </c>
      <c r="U55" s="253"/>
      <c r="V55" s="136"/>
    </row>
    <row r="56">
      <c r="B56" s="358"/>
      <c r="D56" s="359"/>
      <c r="E56" s="360"/>
      <c r="F56" s="361" t="s">
        <v>144</v>
      </c>
      <c r="H56" s="359"/>
      <c r="I56" s="362"/>
      <c r="J56" s="363"/>
      <c r="K56" s="359"/>
      <c r="P56" s="329">
        <v>45822.0</v>
      </c>
      <c r="Q56" s="316" t="s">
        <v>131</v>
      </c>
      <c r="R56" s="316" t="s">
        <v>131</v>
      </c>
      <c r="S56" s="316" t="s">
        <v>51</v>
      </c>
      <c r="T56" s="316">
        <f>240+35</f>
        <v>275</v>
      </c>
      <c r="U56" s="253"/>
      <c r="V56" s="136"/>
    </row>
    <row r="57">
      <c r="B57" s="348"/>
      <c r="C57" s="94"/>
      <c r="D57" s="93"/>
      <c r="E57" s="14"/>
      <c r="F57" s="364" t="s">
        <v>145</v>
      </c>
      <c r="G57" s="94"/>
      <c r="H57" s="93"/>
      <c r="I57" s="365"/>
      <c r="J57" s="366"/>
      <c r="K57" s="93"/>
      <c r="P57" s="329">
        <v>45822.0</v>
      </c>
      <c r="Q57" s="316" t="s">
        <v>119</v>
      </c>
      <c r="R57" s="316" t="s">
        <v>142</v>
      </c>
      <c r="S57" s="316" t="s">
        <v>51</v>
      </c>
      <c r="T57" s="316">
        <v>30.0</v>
      </c>
      <c r="U57" s="253"/>
      <c r="V57" s="136"/>
    </row>
    <row r="58">
      <c r="B58" s="353" t="s">
        <v>127</v>
      </c>
      <c r="C58" s="86"/>
      <c r="D58" s="81"/>
      <c r="E58" s="356"/>
      <c r="F58" s="355" t="s">
        <v>146</v>
      </c>
      <c r="G58" s="86"/>
      <c r="H58" s="81"/>
      <c r="I58" s="356"/>
      <c r="J58" s="357"/>
      <c r="K58" s="81"/>
      <c r="P58" s="329">
        <v>45823.0</v>
      </c>
      <c r="Q58" s="316" t="s">
        <v>119</v>
      </c>
      <c r="R58" s="316" t="s">
        <v>138</v>
      </c>
      <c r="S58" s="316" t="s">
        <v>51</v>
      </c>
      <c r="T58" s="136">
        <f>160+50+200</f>
        <v>410</v>
      </c>
      <c r="U58" s="253"/>
      <c r="V58" s="136"/>
    </row>
    <row r="59">
      <c r="B59" s="348"/>
      <c r="C59" s="94"/>
      <c r="D59" s="93"/>
      <c r="E59" s="14"/>
      <c r="F59" s="364" t="s">
        <v>147</v>
      </c>
      <c r="G59" s="94"/>
      <c r="H59" s="93"/>
      <c r="I59" s="365"/>
      <c r="J59" s="366"/>
      <c r="K59" s="93"/>
      <c r="P59" s="329">
        <v>45824.0</v>
      </c>
      <c r="Q59" s="316" t="s">
        <v>131</v>
      </c>
      <c r="R59" s="316" t="s">
        <v>123</v>
      </c>
      <c r="S59" s="316" t="s">
        <v>51</v>
      </c>
      <c r="T59" s="136">
        <f>130</f>
        <v>130</v>
      </c>
      <c r="U59" s="253"/>
      <c r="V59" s="136"/>
    </row>
    <row r="60">
      <c r="B60" s="353" t="s">
        <v>131</v>
      </c>
      <c r="C60" s="86"/>
      <c r="D60" s="81"/>
      <c r="E60" s="356"/>
      <c r="F60" s="355" t="s">
        <v>148</v>
      </c>
      <c r="G60" s="86"/>
      <c r="H60" s="81"/>
      <c r="I60" s="356"/>
      <c r="J60" s="357"/>
      <c r="K60" s="81"/>
      <c r="P60" s="329">
        <v>45825.0</v>
      </c>
      <c r="Q60" s="316" t="s">
        <v>131</v>
      </c>
      <c r="R60" s="316" t="s">
        <v>131</v>
      </c>
      <c r="S60" s="316" t="s">
        <v>51</v>
      </c>
      <c r="T60" s="316">
        <v>600.0</v>
      </c>
      <c r="U60" s="253"/>
      <c r="V60" s="136"/>
    </row>
    <row r="61">
      <c r="B61" s="358"/>
      <c r="D61" s="359"/>
      <c r="E61" s="360"/>
      <c r="F61" s="361" t="s">
        <v>23</v>
      </c>
      <c r="H61" s="359"/>
      <c r="I61" s="362"/>
      <c r="J61" s="363"/>
      <c r="K61" s="359"/>
      <c r="P61" s="329">
        <v>45826.0</v>
      </c>
      <c r="Q61" s="316" t="s">
        <v>119</v>
      </c>
      <c r="R61" s="316" t="s">
        <v>142</v>
      </c>
      <c r="S61" s="316" t="s">
        <v>51</v>
      </c>
      <c r="T61" s="316">
        <v>20.0</v>
      </c>
      <c r="U61" s="253"/>
      <c r="V61" s="136"/>
    </row>
    <row r="62">
      <c r="B62" s="348"/>
      <c r="C62" s="94"/>
      <c r="D62" s="93"/>
      <c r="E62" s="14"/>
      <c r="F62" s="364" t="s">
        <v>149</v>
      </c>
      <c r="G62" s="94"/>
      <c r="H62" s="93"/>
      <c r="I62" s="365"/>
      <c r="J62" s="366"/>
      <c r="K62" s="93"/>
      <c r="P62" s="329">
        <v>45827.0</v>
      </c>
      <c r="Q62" s="316" t="s">
        <v>119</v>
      </c>
      <c r="R62" s="316" t="s">
        <v>142</v>
      </c>
      <c r="S62" s="316" t="s">
        <v>51</v>
      </c>
      <c r="T62" s="316">
        <v>400.0</v>
      </c>
      <c r="U62" s="253"/>
      <c r="V62" s="136"/>
    </row>
    <row r="63">
      <c r="B63" s="367" t="s">
        <v>134</v>
      </c>
      <c r="D63" s="359"/>
      <c r="E63" s="362"/>
      <c r="F63" s="361" t="s">
        <v>150</v>
      </c>
      <c r="H63" s="359"/>
      <c r="I63" s="362"/>
      <c r="J63" s="363"/>
      <c r="K63" s="359"/>
      <c r="P63" s="329">
        <v>45827.0</v>
      </c>
      <c r="Q63" s="316" t="s">
        <v>119</v>
      </c>
      <c r="R63" s="316" t="s">
        <v>142</v>
      </c>
      <c r="S63" s="316" t="s">
        <v>51</v>
      </c>
      <c r="T63" s="316">
        <v>50.0</v>
      </c>
      <c r="U63" s="253"/>
      <c r="V63" s="136"/>
    </row>
    <row r="64">
      <c r="B64" s="358"/>
      <c r="D64" s="359"/>
      <c r="E64" s="360"/>
      <c r="F64" s="361" t="s">
        <v>131</v>
      </c>
      <c r="H64" s="359"/>
      <c r="I64" s="362"/>
      <c r="J64" s="363"/>
      <c r="K64" s="359"/>
      <c r="P64" s="329">
        <v>45827.0</v>
      </c>
      <c r="Q64" s="316" t="s">
        <v>131</v>
      </c>
      <c r="R64" s="316" t="s">
        <v>123</v>
      </c>
      <c r="S64" s="316" t="s">
        <v>51</v>
      </c>
      <c r="T64" s="316">
        <v>100.0</v>
      </c>
      <c r="U64" s="253"/>
      <c r="V64" s="136"/>
    </row>
    <row r="65">
      <c r="B65" s="368" t="s">
        <v>26</v>
      </c>
      <c r="C65" s="158"/>
      <c r="D65" s="159"/>
      <c r="E65" s="369"/>
      <c r="F65" s="370" t="s">
        <v>116</v>
      </c>
      <c r="G65" s="158"/>
      <c r="H65" s="159"/>
      <c r="I65" s="369"/>
      <c r="J65" s="371"/>
      <c r="K65" s="159"/>
      <c r="P65" s="329">
        <v>45827.0</v>
      </c>
      <c r="Q65" s="316" t="s">
        <v>127</v>
      </c>
      <c r="R65" s="316" t="s">
        <v>147</v>
      </c>
      <c r="S65" s="316" t="s">
        <v>12</v>
      </c>
      <c r="T65" s="316">
        <v>50.0</v>
      </c>
      <c r="U65" s="253"/>
      <c r="V65" s="136"/>
    </row>
    <row r="66">
      <c r="F66" s="298" t="s">
        <v>121</v>
      </c>
      <c r="P66" s="329">
        <v>45828.0</v>
      </c>
      <c r="Q66" s="316" t="s">
        <v>131</v>
      </c>
      <c r="R66" s="316" t="s">
        <v>23</v>
      </c>
      <c r="S66" s="316" t="s">
        <v>51</v>
      </c>
      <c r="T66" s="316">
        <v>50.0</v>
      </c>
      <c r="U66" s="253"/>
      <c r="V66" s="136"/>
    </row>
    <row r="67">
      <c r="F67" s="298" t="s">
        <v>125</v>
      </c>
      <c r="P67" s="329">
        <v>45829.0</v>
      </c>
      <c r="Q67" s="316" t="s">
        <v>131</v>
      </c>
      <c r="R67" s="316" t="s">
        <v>23</v>
      </c>
      <c r="S67" s="316" t="s">
        <v>51</v>
      </c>
      <c r="T67" s="316">
        <v>20.0</v>
      </c>
      <c r="U67" s="253"/>
      <c r="V67" s="136"/>
    </row>
    <row r="68">
      <c r="F68" s="298" t="s">
        <v>129</v>
      </c>
      <c r="P68" s="329">
        <v>45829.0</v>
      </c>
      <c r="Q68" s="316" t="s">
        <v>131</v>
      </c>
      <c r="R68" s="316" t="s">
        <v>148</v>
      </c>
      <c r="S68" s="316" t="s">
        <v>51</v>
      </c>
      <c r="T68" s="136">
        <f>35+70+20</f>
        <v>125</v>
      </c>
      <c r="U68" s="253"/>
      <c r="V68" s="136"/>
    </row>
    <row r="69">
      <c r="F69" s="298" t="s">
        <v>132</v>
      </c>
      <c r="P69" s="329">
        <v>45829.0</v>
      </c>
      <c r="Q69" s="316" t="s">
        <v>123</v>
      </c>
      <c r="R69" s="316" t="s">
        <v>123</v>
      </c>
      <c r="S69" s="316" t="s">
        <v>51</v>
      </c>
      <c r="T69" s="316">
        <v>60.0</v>
      </c>
      <c r="U69" s="253"/>
      <c r="V69" s="136"/>
    </row>
    <row r="70">
      <c r="F70" s="298" t="s">
        <v>26</v>
      </c>
      <c r="P70" s="329">
        <v>45829.0</v>
      </c>
      <c r="Q70" s="316" t="s">
        <v>119</v>
      </c>
      <c r="R70" s="316" t="s">
        <v>142</v>
      </c>
      <c r="S70" s="316" t="s">
        <v>51</v>
      </c>
      <c r="T70" s="316">
        <v>285.0</v>
      </c>
      <c r="U70" s="253"/>
      <c r="V70" s="136"/>
    </row>
    <row r="71">
      <c r="F71" s="298" t="s">
        <v>151</v>
      </c>
      <c r="P71" s="329">
        <v>45830.0</v>
      </c>
      <c r="Q71" s="316" t="s">
        <v>119</v>
      </c>
      <c r="R71" s="316" t="s">
        <v>142</v>
      </c>
      <c r="S71" s="316" t="s">
        <v>51</v>
      </c>
      <c r="T71" s="316">
        <v>100.0</v>
      </c>
      <c r="U71" s="253"/>
      <c r="V71" s="136"/>
    </row>
    <row r="72">
      <c r="F72" s="298" t="s">
        <v>152</v>
      </c>
      <c r="P72" s="329">
        <v>45830.0</v>
      </c>
      <c r="Q72" s="316" t="s">
        <v>123</v>
      </c>
      <c r="R72" s="316" t="s">
        <v>123</v>
      </c>
      <c r="S72" s="316" t="s">
        <v>51</v>
      </c>
      <c r="T72" s="316">
        <v>80.0</v>
      </c>
      <c r="U72" s="253"/>
      <c r="V72" s="136"/>
    </row>
    <row r="73">
      <c r="F73" s="298" t="s">
        <v>153</v>
      </c>
      <c r="P73" s="329">
        <v>45830.0</v>
      </c>
      <c r="Q73" s="316" t="s">
        <v>131</v>
      </c>
      <c r="R73" s="316" t="s">
        <v>131</v>
      </c>
      <c r="S73" s="316" t="s">
        <v>51</v>
      </c>
      <c r="T73" s="316">
        <v>30.0</v>
      </c>
      <c r="U73" s="253"/>
      <c r="V73" s="136"/>
    </row>
    <row r="74">
      <c r="P74" s="329">
        <v>45831.0</v>
      </c>
      <c r="Q74" s="316" t="s">
        <v>123</v>
      </c>
      <c r="R74" s="316" t="s">
        <v>123</v>
      </c>
      <c r="S74" s="316" t="s">
        <v>51</v>
      </c>
      <c r="T74" s="316">
        <v>300.0</v>
      </c>
      <c r="U74" s="253"/>
      <c r="V74" s="136"/>
    </row>
    <row r="75">
      <c r="P75" s="329">
        <v>45831.0</v>
      </c>
      <c r="Q75" s="316" t="s">
        <v>119</v>
      </c>
      <c r="R75" s="316" t="s">
        <v>142</v>
      </c>
      <c r="S75" s="316" t="s">
        <v>51</v>
      </c>
      <c r="T75" s="316">
        <v>20.0</v>
      </c>
      <c r="U75" s="253"/>
      <c r="V75" s="136"/>
    </row>
    <row r="76">
      <c r="P76" s="329">
        <v>45832.0</v>
      </c>
      <c r="Q76" s="316" t="s">
        <v>123</v>
      </c>
      <c r="R76" s="316" t="s">
        <v>123</v>
      </c>
      <c r="S76" s="316" t="s">
        <v>51</v>
      </c>
      <c r="T76" s="316">
        <v>105.0</v>
      </c>
      <c r="U76" s="253"/>
      <c r="V76" s="136"/>
    </row>
    <row r="77">
      <c r="P77" s="329">
        <v>45832.0</v>
      </c>
      <c r="Q77" s="316" t="s">
        <v>119</v>
      </c>
      <c r="R77" s="316" t="s">
        <v>142</v>
      </c>
      <c r="S77" s="316" t="s">
        <v>51</v>
      </c>
      <c r="T77" s="316">
        <v>180.0</v>
      </c>
      <c r="U77" s="253"/>
      <c r="V77" s="136"/>
    </row>
    <row r="78">
      <c r="P78" s="329">
        <v>45832.0</v>
      </c>
      <c r="Q78" s="316" t="s">
        <v>114</v>
      </c>
      <c r="R78" s="316" t="s">
        <v>122</v>
      </c>
      <c r="S78" s="316" t="s">
        <v>12</v>
      </c>
      <c r="T78" s="316">
        <v>451.0</v>
      </c>
      <c r="U78" s="253"/>
      <c r="V78" s="136"/>
    </row>
    <row r="79">
      <c r="P79" s="329">
        <v>45832.0</v>
      </c>
      <c r="Q79" s="316" t="s">
        <v>127</v>
      </c>
      <c r="R79" s="316" t="s">
        <v>146</v>
      </c>
      <c r="S79" s="316" t="s">
        <v>12</v>
      </c>
      <c r="T79" s="316">
        <v>270.0</v>
      </c>
      <c r="U79" s="253"/>
      <c r="V79" s="136"/>
    </row>
    <row r="80">
      <c r="P80" s="329">
        <v>45829.0</v>
      </c>
      <c r="Q80" s="316" t="s">
        <v>114</v>
      </c>
      <c r="R80" s="316" t="s">
        <v>118</v>
      </c>
      <c r="S80" s="316" t="s">
        <v>12</v>
      </c>
      <c r="T80" s="316">
        <v>300.0</v>
      </c>
      <c r="U80" s="253"/>
      <c r="V80" s="136"/>
    </row>
    <row r="81">
      <c r="P81" s="329">
        <v>45833.0</v>
      </c>
      <c r="Q81" s="316" t="s">
        <v>119</v>
      </c>
      <c r="R81" s="316" t="s">
        <v>135</v>
      </c>
      <c r="S81" s="316" t="s">
        <v>51</v>
      </c>
      <c r="T81" s="316">
        <v>30.0</v>
      </c>
      <c r="U81" s="253"/>
      <c r="V81" s="136"/>
    </row>
    <row r="82">
      <c r="P82" s="329">
        <v>45833.0</v>
      </c>
      <c r="Q82" s="316" t="s">
        <v>123</v>
      </c>
      <c r="R82" s="316" t="s">
        <v>145</v>
      </c>
      <c r="S82" s="316" t="s">
        <v>51</v>
      </c>
      <c r="T82" s="316">
        <v>100.0</v>
      </c>
      <c r="U82" s="253"/>
      <c r="V82" s="136"/>
    </row>
    <row r="83">
      <c r="P83" s="252"/>
      <c r="Q83" s="136"/>
      <c r="R83" s="136"/>
      <c r="S83" s="136"/>
      <c r="T83" s="136"/>
      <c r="U83" s="253"/>
      <c r="V83" s="136"/>
    </row>
    <row r="84">
      <c r="P84" s="252"/>
      <c r="Q84" s="136"/>
      <c r="R84" s="136"/>
      <c r="S84" s="136"/>
      <c r="T84" s="136"/>
      <c r="U84" s="253"/>
      <c r="V84" s="136"/>
    </row>
    <row r="85">
      <c r="P85" s="252"/>
      <c r="Q85" s="136"/>
      <c r="R85" s="136"/>
      <c r="S85" s="136"/>
      <c r="T85" s="136"/>
      <c r="U85" s="253"/>
      <c r="V85" s="136"/>
    </row>
    <row r="86">
      <c r="P86" s="252"/>
      <c r="Q86" s="136"/>
      <c r="R86" s="136"/>
      <c r="S86" s="136"/>
      <c r="T86" s="136"/>
      <c r="U86" s="253"/>
      <c r="V86" s="136"/>
    </row>
    <row r="87">
      <c r="P87" s="252"/>
      <c r="Q87" s="136"/>
      <c r="R87" s="136"/>
      <c r="S87" s="136"/>
      <c r="T87" s="136"/>
      <c r="U87" s="253"/>
      <c r="V87" s="136"/>
    </row>
    <row r="88">
      <c r="P88" s="252"/>
      <c r="Q88" s="136"/>
      <c r="R88" s="136"/>
      <c r="S88" s="136"/>
      <c r="T88" s="136"/>
      <c r="U88" s="253"/>
      <c r="V88" s="136"/>
    </row>
    <row r="89">
      <c r="P89" s="252"/>
      <c r="Q89" s="136"/>
      <c r="R89" s="136"/>
      <c r="S89" s="136"/>
      <c r="T89" s="136"/>
      <c r="U89" s="253"/>
      <c r="V89" s="136"/>
    </row>
    <row r="90">
      <c r="P90" s="252"/>
      <c r="Q90" s="136"/>
      <c r="R90" s="136"/>
      <c r="S90" s="136"/>
      <c r="T90" s="136"/>
      <c r="U90" s="253"/>
      <c r="V90" s="136"/>
    </row>
    <row r="91">
      <c r="P91" s="252"/>
      <c r="Q91" s="136"/>
      <c r="R91" s="136"/>
      <c r="S91" s="136"/>
      <c r="T91" s="136"/>
      <c r="U91" s="253"/>
      <c r="V91" s="136"/>
    </row>
    <row r="92">
      <c r="P92" s="252"/>
      <c r="Q92" s="136"/>
      <c r="R92" s="136"/>
      <c r="S92" s="136"/>
      <c r="T92" s="136"/>
      <c r="U92" s="253"/>
      <c r="V92" s="136"/>
    </row>
    <row r="93">
      <c r="P93" s="252"/>
      <c r="Q93" s="136"/>
      <c r="R93" s="136"/>
      <c r="S93" s="136"/>
      <c r="T93" s="136"/>
      <c r="U93" s="253"/>
      <c r="V93" s="136"/>
    </row>
    <row r="94">
      <c r="P94" s="252"/>
      <c r="Q94" s="136"/>
      <c r="R94" s="136"/>
      <c r="S94" s="136"/>
      <c r="T94" s="136"/>
      <c r="U94" s="253"/>
      <c r="V94" s="136"/>
    </row>
    <row r="95">
      <c r="P95" s="252"/>
      <c r="Q95" s="136"/>
      <c r="R95" s="136"/>
      <c r="S95" s="136"/>
      <c r="T95" s="136"/>
      <c r="U95" s="253"/>
      <c r="V95" s="136"/>
    </row>
    <row r="96">
      <c r="P96" s="252"/>
      <c r="Q96" s="136"/>
      <c r="R96" s="136"/>
      <c r="S96" s="136"/>
      <c r="T96" s="136"/>
      <c r="U96" s="253"/>
      <c r="V96" s="136"/>
    </row>
    <row r="97">
      <c r="P97" s="252"/>
      <c r="Q97" s="136"/>
      <c r="R97" s="136"/>
      <c r="S97" s="136"/>
      <c r="T97" s="136"/>
      <c r="U97" s="253"/>
      <c r="V97" s="136"/>
    </row>
    <row r="98">
      <c r="P98" s="252"/>
      <c r="Q98" s="136"/>
      <c r="R98" s="136"/>
      <c r="S98" s="136"/>
      <c r="T98" s="136"/>
      <c r="U98" s="253"/>
      <c r="V98" s="136"/>
    </row>
    <row r="99">
      <c r="P99" s="252"/>
      <c r="Q99" s="136"/>
      <c r="R99" s="136"/>
      <c r="S99" s="136"/>
      <c r="T99" s="136"/>
      <c r="U99" s="253"/>
      <c r="V99" s="136"/>
    </row>
    <row r="100">
      <c r="P100" s="252"/>
      <c r="Q100" s="136"/>
      <c r="R100" s="136"/>
      <c r="S100" s="136"/>
      <c r="T100" s="136"/>
      <c r="U100" s="25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70">
    <mergeCell ref="F53:H53"/>
    <mergeCell ref="F54:H54"/>
    <mergeCell ref="F50:H50"/>
    <mergeCell ref="J50:K50"/>
    <mergeCell ref="F51:H51"/>
    <mergeCell ref="J51:K51"/>
    <mergeCell ref="F52:H52"/>
    <mergeCell ref="J52:K52"/>
    <mergeCell ref="J53:K53"/>
    <mergeCell ref="J54:K54"/>
    <mergeCell ref="F56:H56"/>
    <mergeCell ref="F57:H57"/>
    <mergeCell ref="B51:D54"/>
    <mergeCell ref="E51:E54"/>
    <mergeCell ref="E55:E57"/>
    <mergeCell ref="F55:H55"/>
    <mergeCell ref="J55:K55"/>
    <mergeCell ref="J56:K56"/>
    <mergeCell ref="J57:K57"/>
    <mergeCell ref="B55:D57"/>
    <mergeCell ref="B58:D59"/>
    <mergeCell ref="E58:E59"/>
    <mergeCell ref="F58:H58"/>
    <mergeCell ref="J58:K58"/>
    <mergeCell ref="F59:H59"/>
    <mergeCell ref="J59:K59"/>
    <mergeCell ref="E60:E62"/>
    <mergeCell ref="F60:H60"/>
    <mergeCell ref="J60:K60"/>
    <mergeCell ref="F61:H61"/>
    <mergeCell ref="J61:K61"/>
    <mergeCell ref="F62:H62"/>
    <mergeCell ref="J62:K62"/>
    <mergeCell ref="B2:F2"/>
    <mergeCell ref="H2:H3"/>
    <mergeCell ref="I2:I3"/>
    <mergeCell ref="L2:M2"/>
    <mergeCell ref="L15:M15"/>
    <mergeCell ref="L24:M24"/>
    <mergeCell ref="L33:M33"/>
    <mergeCell ref="F45:H45"/>
    <mergeCell ref="F46:H46"/>
    <mergeCell ref="F44:H44"/>
    <mergeCell ref="F47:H47"/>
    <mergeCell ref="J47:K47"/>
    <mergeCell ref="F48:H48"/>
    <mergeCell ref="J48:K48"/>
    <mergeCell ref="F49:H49"/>
    <mergeCell ref="J49:K49"/>
    <mergeCell ref="B42:K43"/>
    <mergeCell ref="B44:D44"/>
    <mergeCell ref="J44:K44"/>
    <mergeCell ref="B45:D50"/>
    <mergeCell ref="E45:E50"/>
    <mergeCell ref="J45:K45"/>
    <mergeCell ref="J46:K46"/>
    <mergeCell ref="F64:H64"/>
    <mergeCell ref="F65:H65"/>
    <mergeCell ref="F66:H66"/>
    <mergeCell ref="J66:K66"/>
    <mergeCell ref="F67:H67"/>
    <mergeCell ref="J67:K67"/>
    <mergeCell ref="B60:D62"/>
    <mergeCell ref="B63:D64"/>
    <mergeCell ref="E63:E64"/>
    <mergeCell ref="F63:H63"/>
    <mergeCell ref="J63:K63"/>
    <mergeCell ref="J64:K64"/>
    <mergeCell ref="B65:D65"/>
    <mergeCell ref="J65:K65"/>
  </mergeCells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39094</v>
      </c>
      <c r="L2" s="84" t="s">
        <v>34</v>
      </c>
      <c r="M2" s="86"/>
      <c r="N2" s="85">
        <f>M4+M5+M8+M9</f>
        <v>60838</v>
      </c>
      <c r="P2" s="309" t="s">
        <v>6</v>
      </c>
      <c r="Q2" s="310" t="s">
        <v>107</v>
      </c>
      <c r="R2" s="310" t="s">
        <v>108</v>
      </c>
      <c r="S2" s="310" t="s">
        <v>156</v>
      </c>
      <c r="T2" s="310" t="s">
        <v>35</v>
      </c>
      <c r="U2" s="311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315">
        <v>45834.0</v>
      </c>
      <c r="Q3" s="316" t="s">
        <v>123</v>
      </c>
      <c r="R3" s="316" t="s">
        <v>123</v>
      </c>
      <c r="S3" s="316" t="s">
        <v>51</v>
      </c>
      <c r="T3" s="316">
        <f>320+110</f>
        <v>430</v>
      </c>
      <c r="U3" s="330" t="s">
        <v>177</v>
      </c>
      <c r="V3" s="136"/>
    </row>
    <row r="4">
      <c r="B4" s="317">
        <v>45834.0</v>
      </c>
      <c r="C4" s="108"/>
      <c r="D4" s="150">
        <v>39500.0</v>
      </c>
      <c r="E4" s="108" t="s">
        <v>143</v>
      </c>
      <c r="F4" s="174" t="s">
        <v>120</v>
      </c>
      <c r="H4" s="318" t="str">
        <f t="shared" ref="H4:H35" si="1">TEXT(I4, "dddd")
</f>
        <v>Thursday</v>
      </c>
      <c r="I4" s="319">
        <v>45834.0</v>
      </c>
      <c r="J4" s="170">
        <f t="array" ref="J4">sum(IF(($P$3:$P$100=I4), $T$3:$T$100, 0))</f>
        <v>1130</v>
      </c>
      <c r="L4" s="320" t="str">
        <f t="array" ref="L4:L12">INDIRECT("Account")</f>
        <v>Cash</v>
      </c>
      <c r="M4" s="321">
        <f t="array" ref="M4">N4 - sum(IF(($E$4:$E$49=L4), $D$4:$D$39 + $C$4:$C$39, 0)) + sum(IF(($F$4:$F$49=L4), $D$4:$D$39, 0)) - sum(IF(($S$3:$S$100=L4), $T$3:$T$100, 0))</f>
        <v>3725</v>
      </c>
      <c r="N4" s="322">
        <v>0.0</v>
      </c>
      <c r="P4" s="315">
        <v>45835.0</v>
      </c>
      <c r="Q4" s="316" t="s">
        <v>119</v>
      </c>
      <c r="R4" s="316" t="s">
        <v>135</v>
      </c>
      <c r="S4" s="316" t="s">
        <v>51</v>
      </c>
      <c r="T4" s="316">
        <v>30.0</v>
      </c>
      <c r="U4" s="253"/>
      <c r="V4" s="136"/>
    </row>
    <row r="5">
      <c r="B5" s="317">
        <v>45834.0</v>
      </c>
      <c r="C5" s="108">
        <v>0.0</v>
      </c>
      <c r="D5" s="142">
        <v>30000.0</v>
      </c>
      <c r="E5" s="108" t="s">
        <v>120</v>
      </c>
      <c r="F5" s="174" t="s">
        <v>51</v>
      </c>
      <c r="H5" s="318" t="str">
        <f t="shared" si="1"/>
        <v>Friday</v>
      </c>
      <c r="I5" s="319">
        <v>45835.0</v>
      </c>
      <c r="J5" s="170">
        <f t="array" ref="J5">sum(IF(($P$3:$P$100=I5), $T$3:$T$100, 0))</f>
        <v>40</v>
      </c>
      <c r="L5" s="324" t="s">
        <v>120</v>
      </c>
      <c r="M5" s="325">
        <f t="array" ref="M5">N5 - sum(IF(($E$4:$E$49=L5), $D$4:$D$39 + $C$4:$C$39, 0)) + sum(IF(($F$4:$F$49=L5), $D$4:$D$39, 0)) - sum(IF(($S$3:$S$100=L5), $T$3:$T$100, 0))</f>
        <v>57034</v>
      </c>
      <c r="N5" s="326">
        <f>31</f>
        <v>31</v>
      </c>
      <c r="P5" s="315">
        <v>45836.0</v>
      </c>
      <c r="Q5" s="316" t="s">
        <v>131</v>
      </c>
      <c r="R5" s="316" t="s">
        <v>23</v>
      </c>
      <c r="S5" s="316" t="s">
        <v>51</v>
      </c>
      <c r="T5" s="316">
        <f>80+65</f>
        <v>145</v>
      </c>
      <c r="U5" s="253"/>
      <c r="V5" s="136"/>
    </row>
    <row r="6">
      <c r="B6" s="317">
        <v>45838.0</v>
      </c>
      <c r="C6" s="108"/>
      <c r="D6" s="142">
        <v>53333.0</v>
      </c>
      <c r="E6" s="108" t="s">
        <v>143</v>
      </c>
      <c r="F6" s="174" t="s">
        <v>120</v>
      </c>
      <c r="H6" s="318" t="str">
        <f t="shared" si="1"/>
        <v>Saturday</v>
      </c>
      <c r="I6" s="319">
        <v>45836.0</v>
      </c>
      <c r="J6" s="170">
        <f t="array" ref="J6">sum(IF(($P$3:$P$100=I6), $T$3:$T$100, 0))</f>
        <v>9765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30191</v>
      </c>
      <c r="N6" s="328">
        <v>191.0</v>
      </c>
      <c r="P6" s="315">
        <v>45836.0</v>
      </c>
      <c r="Q6" s="316" t="s">
        <v>131</v>
      </c>
      <c r="R6" s="316" t="s">
        <v>131</v>
      </c>
      <c r="S6" s="316" t="s">
        <v>51</v>
      </c>
      <c r="T6" s="316">
        <f>3500+30</f>
        <v>3530</v>
      </c>
      <c r="U6" s="330" t="s">
        <v>164</v>
      </c>
      <c r="V6" s="136"/>
    </row>
    <row r="7">
      <c r="B7" s="317">
        <v>45838.0</v>
      </c>
      <c r="C7" s="142"/>
      <c r="D7" s="142">
        <v>30000.0</v>
      </c>
      <c r="E7" s="108" t="s">
        <v>143</v>
      </c>
      <c r="F7" s="174" t="s">
        <v>124</v>
      </c>
      <c r="H7" s="318" t="str">
        <f t="shared" si="1"/>
        <v>Sunday</v>
      </c>
      <c r="I7" s="319">
        <v>45837.0</v>
      </c>
      <c r="J7" s="170">
        <f t="array" ref="J7">sum(IF(($P$3:$P$100=I7), $T$3:$T$100, 0))</f>
        <v>1230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8">
        <v>285.0</v>
      </c>
      <c r="P7" s="315">
        <v>45836.0</v>
      </c>
      <c r="Q7" s="316" t="s">
        <v>119</v>
      </c>
      <c r="R7" s="316" t="s">
        <v>135</v>
      </c>
      <c r="S7" s="316" t="s">
        <v>51</v>
      </c>
      <c r="T7" s="316">
        <v>90.0</v>
      </c>
      <c r="U7" s="330"/>
      <c r="V7" s="136"/>
    </row>
    <row r="8">
      <c r="B8" s="317">
        <v>45838.0</v>
      </c>
      <c r="C8" s="108"/>
      <c r="D8" s="108">
        <v>800.0</v>
      </c>
      <c r="E8" s="108" t="s">
        <v>120</v>
      </c>
      <c r="F8" s="174" t="s">
        <v>65</v>
      </c>
      <c r="H8" s="318" t="str">
        <f t="shared" si="1"/>
        <v>Monday</v>
      </c>
      <c r="I8" s="319">
        <v>45838.0</v>
      </c>
      <c r="J8" s="170">
        <f t="array" ref="J8">sum(IF(($P$3:$P$100=I8), $T$3:$T$100, 0))</f>
        <v>385</v>
      </c>
      <c r="L8" s="331" t="s">
        <v>12</v>
      </c>
      <c r="M8" s="325">
        <f t="array" ref="M8">N8 - sum(IF(($E$4:$E$49=L8), $D$4:$D$39 + $C$4:$C$39, 0)) + sum(IF(($F$4:$F$49=L8), $D$4:$D$39, 0)) - sum(IF(($S$3:$S$100=L8), $T$3:$T$100, 0))</f>
        <v>77</v>
      </c>
      <c r="N8" s="332">
        <v>11.0</v>
      </c>
      <c r="P8" s="315">
        <v>45834.0</v>
      </c>
      <c r="Q8" s="316" t="s">
        <v>131</v>
      </c>
      <c r="R8" s="316" t="s">
        <v>23</v>
      </c>
      <c r="S8" s="316" t="s">
        <v>51</v>
      </c>
      <c r="T8" s="316">
        <v>700.0</v>
      </c>
      <c r="U8" s="330" t="s">
        <v>178</v>
      </c>
      <c r="V8" s="136"/>
    </row>
    <row r="9">
      <c r="B9" s="317">
        <v>45846.0</v>
      </c>
      <c r="C9" s="108"/>
      <c r="D9" s="108">
        <v>1000.0</v>
      </c>
      <c r="E9" s="108" t="s">
        <v>120</v>
      </c>
      <c r="F9" s="174" t="s">
        <v>12</v>
      </c>
      <c r="H9" s="318" t="str">
        <f t="shared" si="1"/>
        <v>Tuesday</v>
      </c>
      <c r="I9" s="319">
        <v>45839.0</v>
      </c>
      <c r="J9" s="170">
        <f t="array" ref="J9">sum(IF(($P$3:$P$100=I9), $T$3:$T$100, 0))</f>
        <v>905</v>
      </c>
      <c r="L9" s="331" t="s">
        <v>65</v>
      </c>
      <c r="M9" s="325">
        <f t="array" ref="M9">N9 - sum(IF(($E$4:$E$49=L9), $D$4:$D$39 + $C$4:$C$39, 0)) + sum(IF(($F$4:$F$49=L9), $D$4:$D$39, 0)) - sum(IF(($S$3:$S$100=L9), $T$3:$T$100, 0))</f>
        <v>2</v>
      </c>
      <c r="N9" s="332">
        <v>87.0</v>
      </c>
      <c r="P9" s="315">
        <v>45837.0</v>
      </c>
      <c r="Q9" s="316" t="s">
        <v>119</v>
      </c>
      <c r="R9" s="316" t="s">
        <v>135</v>
      </c>
      <c r="S9" s="316" t="s">
        <v>51</v>
      </c>
      <c r="T9" s="136">
        <f>660+20+50</f>
        <v>730</v>
      </c>
      <c r="U9" s="330" t="s">
        <v>179</v>
      </c>
      <c r="V9" s="136"/>
    </row>
    <row r="10">
      <c r="B10" s="317">
        <v>45850.0</v>
      </c>
      <c r="C10" s="142">
        <v>15.0</v>
      </c>
      <c r="D10" s="142">
        <v>3000.0</v>
      </c>
      <c r="E10" s="108" t="s">
        <v>120</v>
      </c>
      <c r="F10" s="174" t="s">
        <v>51</v>
      </c>
      <c r="H10" s="318" t="str">
        <f t="shared" si="1"/>
        <v>Wednesday</v>
      </c>
      <c r="I10" s="319">
        <v>45840.0</v>
      </c>
      <c r="J10" s="170">
        <f t="array" ref="J10">sum(IF(($P$3:$P$100=I10), $T$3:$T$100, 0))</f>
        <v>200</v>
      </c>
      <c r="L10" s="333" t="s">
        <v>137</v>
      </c>
      <c r="M10" s="374">
        <v>140000.0</v>
      </c>
      <c r="N10" s="334">
        <v>150000.0</v>
      </c>
      <c r="P10" s="315">
        <v>45837.0</v>
      </c>
      <c r="Q10" s="316" t="s">
        <v>119</v>
      </c>
      <c r="R10" s="316" t="s">
        <v>138</v>
      </c>
      <c r="S10" s="316" t="s">
        <v>51</v>
      </c>
      <c r="T10" s="316">
        <v>300.0</v>
      </c>
      <c r="U10" s="330" t="s">
        <v>180</v>
      </c>
      <c r="V10" s="136"/>
    </row>
    <row r="11">
      <c r="B11" s="317">
        <v>45851.0</v>
      </c>
      <c r="C11" s="108"/>
      <c r="D11" s="142">
        <v>7000.0</v>
      </c>
      <c r="E11" s="108" t="s">
        <v>143</v>
      </c>
      <c r="F11" s="174" t="s">
        <v>120</v>
      </c>
      <c r="H11" s="318" t="str">
        <f t="shared" si="1"/>
        <v>Thursday</v>
      </c>
      <c r="I11" s="319">
        <v>45841.0</v>
      </c>
      <c r="J11" s="170">
        <f t="array" ref="J11">sum(IF(($P$3:$P$100=I11), $T$3:$T$100, 0))</f>
        <v>450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34">
        <f>2500+3000</f>
        <v>5500</v>
      </c>
      <c r="P11" s="315">
        <v>45837.0</v>
      </c>
      <c r="Q11" s="316" t="s">
        <v>119</v>
      </c>
      <c r="R11" s="316" t="s">
        <v>142</v>
      </c>
      <c r="S11" s="316" t="s">
        <v>51</v>
      </c>
      <c r="T11" s="316">
        <v>50.0</v>
      </c>
      <c r="U11" s="330"/>
      <c r="V11" s="136"/>
    </row>
    <row r="12">
      <c r="B12" s="317">
        <v>45862.0</v>
      </c>
      <c r="C12" s="108">
        <v>15.0</v>
      </c>
      <c r="D12" s="108">
        <v>5000.0</v>
      </c>
      <c r="E12" s="108" t="s">
        <v>120</v>
      </c>
      <c r="F12" s="174" t="s">
        <v>51</v>
      </c>
      <c r="H12" s="318" t="str">
        <f t="shared" si="1"/>
        <v>Friday</v>
      </c>
      <c r="I12" s="319">
        <v>45842.0</v>
      </c>
      <c r="J12" s="170">
        <f t="array" ref="J12">sum(IF(($P$3:$P$100=I12), $T$3:$T$100, 0))</f>
        <v>0</v>
      </c>
      <c r="L12" s="335" t="s">
        <v>136</v>
      </c>
      <c r="M12" s="336"/>
      <c r="N12" s="337"/>
      <c r="P12" s="315">
        <v>45837.0</v>
      </c>
      <c r="Q12" s="316" t="s">
        <v>123</v>
      </c>
      <c r="R12" s="316" t="s">
        <v>123</v>
      </c>
      <c r="S12" s="316" t="s">
        <v>51</v>
      </c>
      <c r="T12" s="316">
        <v>150.0</v>
      </c>
      <c r="U12" s="330" t="s">
        <v>181</v>
      </c>
      <c r="V12" s="136"/>
    </row>
    <row r="13">
      <c r="B13" s="317">
        <v>45855.0</v>
      </c>
      <c r="C13" s="108"/>
      <c r="D13" s="142">
        <v>500.0</v>
      </c>
      <c r="E13" s="108" t="s">
        <v>120</v>
      </c>
      <c r="F13" s="174" t="s">
        <v>12</v>
      </c>
      <c r="H13" s="318" t="str">
        <f t="shared" si="1"/>
        <v>Saturday</v>
      </c>
      <c r="I13" s="319">
        <v>45843.0</v>
      </c>
      <c r="J13" s="170">
        <f t="array" ref="J13">sum(IF(($P$3:$P$100=I13), $T$3:$T$100, 0))</f>
        <v>0</v>
      </c>
      <c r="L13" s="338"/>
      <c r="M13" s="339"/>
      <c r="N13" s="340"/>
      <c r="P13" s="315">
        <v>45836.0</v>
      </c>
      <c r="Q13" s="316" t="s">
        <v>119</v>
      </c>
      <c r="R13" s="316" t="s">
        <v>141</v>
      </c>
      <c r="S13" s="316" t="s">
        <v>51</v>
      </c>
      <c r="T13" s="316">
        <v>6000.0</v>
      </c>
      <c r="U13" s="330" t="s">
        <v>182</v>
      </c>
      <c r="V13" s="136"/>
    </row>
    <row r="14">
      <c r="B14" s="317"/>
      <c r="C14" s="108"/>
      <c r="D14" s="142"/>
      <c r="E14" s="108"/>
      <c r="F14" s="174"/>
      <c r="H14" s="318" t="str">
        <f t="shared" si="1"/>
        <v>Sunday</v>
      </c>
      <c r="I14" s="319">
        <v>45844.0</v>
      </c>
      <c r="J14" s="170">
        <f t="array" ref="J14">sum(IF(($P$3:$P$100=I14), $T$3:$T$100, 0))</f>
        <v>17450</v>
      </c>
      <c r="P14" s="315">
        <v>45835.0</v>
      </c>
      <c r="Q14" s="316" t="s">
        <v>26</v>
      </c>
      <c r="R14" s="316" t="s">
        <v>26</v>
      </c>
      <c r="S14" s="316" t="s">
        <v>51</v>
      </c>
      <c r="T14" s="316">
        <v>10.0</v>
      </c>
      <c r="U14" s="253"/>
      <c r="V14" s="136"/>
    </row>
    <row r="15">
      <c r="B15" s="317"/>
      <c r="C15" s="108"/>
      <c r="D15" s="108"/>
      <c r="E15" s="108"/>
      <c r="F15" s="174"/>
      <c r="H15" s="318" t="str">
        <f t="shared" si="1"/>
        <v>Monday</v>
      </c>
      <c r="I15" s="319">
        <v>45845.0</v>
      </c>
      <c r="J15" s="170">
        <f t="array" ref="J15">sum(IF(($P$3:$P$100=I15), $T$3:$T$100, 0))</f>
        <v>20</v>
      </c>
      <c r="L15" s="137" t="s">
        <v>72</v>
      </c>
      <c r="M15" s="86"/>
      <c r="N15" s="138">
        <f>sum(N17:N22)</f>
        <v>0</v>
      </c>
      <c r="P15" s="375">
        <v>45837.0</v>
      </c>
      <c r="Q15" s="376" t="s">
        <v>26</v>
      </c>
      <c r="R15" s="376" t="s">
        <v>151</v>
      </c>
      <c r="S15" s="376" t="s">
        <v>51</v>
      </c>
      <c r="T15" s="376">
        <v>0.0</v>
      </c>
      <c r="U15" s="377" t="s">
        <v>183</v>
      </c>
      <c r="V15" s="136"/>
    </row>
    <row r="16">
      <c r="B16" s="317"/>
      <c r="C16" s="142"/>
      <c r="D16" s="142"/>
      <c r="E16" s="108"/>
      <c r="F16" s="174"/>
      <c r="H16" s="318" t="str">
        <f t="shared" si="1"/>
        <v>Tuesday</v>
      </c>
      <c r="I16" s="319">
        <v>45846.0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315">
        <v>45838.0</v>
      </c>
      <c r="Q16" s="316" t="s">
        <v>119</v>
      </c>
      <c r="R16" s="316" t="s">
        <v>142</v>
      </c>
      <c r="S16" s="316" t="s">
        <v>51</v>
      </c>
      <c r="T16" s="316">
        <f>180+10</f>
        <v>190</v>
      </c>
      <c r="U16" s="330" t="s">
        <v>184</v>
      </c>
      <c r="V16" s="136"/>
    </row>
    <row r="17">
      <c r="B17" s="317"/>
      <c r="C17" s="108"/>
      <c r="D17" s="108"/>
      <c r="E17" s="108"/>
      <c r="F17" s="174"/>
      <c r="H17" s="318" t="str">
        <f t="shared" si="1"/>
        <v>Wednesday</v>
      </c>
      <c r="I17" s="319">
        <v>45847.0</v>
      </c>
      <c r="J17" s="170">
        <f t="array" ref="J17">sum(IF(($P$3:$P$100=I17), $T$3:$T$100, 0))</f>
        <v>140</v>
      </c>
      <c r="L17" s="143">
        <v>45774.0</v>
      </c>
      <c r="M17" s="132">
        <v>2500.0</v>
      </c>
      <c r="N17" s="103" t="s">
        <v>185</v>
      </c>
      <c r="P17" s="315">
        <v>45838.0</v>
      </c>
      <c r="Q17" s="316" t="s">
        <v>119</v>
      </c>
      <c r="R17" s="316" t="s">
        <v>135</v>
      </c>
      <c r="S17" s="316" t="s">
        <v>51</v>
      </c>
      <c r="T17" s="316">
        <v>195.0</v>
      </c>
      <c r="U17" s="330" t="s">
        <v>186</v>
      </c>
      <c r="V17" s="136"/>
    </row>
    <row r="18">
      <c r="B18" s="317"/>
      <c r="C18" s="108"/>
      <c r="D18" s="108"/>
      <c r="E18" s="108"/>
      <c r="F18" s="174"/>
      <c r="H18" s="318" t="str">
        <f t="shared" si="1"/>
        <v>Thursday</v>
      </c>
      <c r="I18" s="319">
        <v>45848.0</v>
      </c>
      <c r="J18" s="170">
        <f t="array" ref="J18">sum(IF(($P$3:$P$100=I18), $T$3:$T$100, 0))</f>
        <v>0</v>
      </c>
      <c r="L18" s="143"/>
      <c r="M18" s="132">
        <v>3000.0</v>
      </c>
      <c r="N18" s="103" t="s">
        <v>187</v>
      </c>
      <c r="P18" s="315">
        <v>45839.0</v>
      </c>
      <c r="Q18" s="316" t="s">
        <v>114</v>
      </c>
      <c r="R18" s="316" t="s">
        <v>118</v>
      </c>
      <c r="S18" s="316" t="s">
        <v>65</v>
      </c>
      <c r="T18" s="316">
        <v>805.0</v>
      </c>
      <c r="U18" s="330"/>
      <c r="V18" s="136"/>
    </row>
    <row r="19">
      <c r="B19" s="317"/>
      <c r="C19" s="112"/>
      <c r="D19" s="108"/>
      <c r="E19" s="108"/>
      <c r="F19" s="174"/>
      <c r="H19" s="318" t="str">
        <f t="shared" si="1"/>
        <v>Friday</v>
      </c>
      <c r="I19" s="319">
        <v>45849.0</v>
      </c>
      <c r="J19" s="170">
        <f t="array" ref="J19">sum(IF(($P$3:$P$100=I19), $T$3:$T$100, 0))</f>
        <v>1678</v>
      </c>
      <c r="L19" s="148"/>
      <c r="M19" s="132">
        <v>100.0</v>
      </c>
      <c r="N19" s="103" t="s">
        <v>188</v>
      </c>
      <c r="P19" s="315">
        <v>45839.0</v>
      </c>
      <c r="Q19" s="316" t="s">
        <v>123</v>
      </c>
      <c r="R19" s="316" t="s">
        <v>123</v>
      </c>
      <c r="S19" s="316" t="s">
        <v>51</v>
      </c>
      <c r="T19" s="316">
        <f>50+50</f>
        <v>100</v>
      </c>
      <c r="U19" s="330"/>
      <c r="V19" s="136"/>
    </row>
    <row r="20">
      <c r="B20" s="317"/>
      <c r="C20" s="142"/>
      <c r="D20" s="142"/>
      <c r="E20" s="108"/>
      <c r="F20" s="174"/>
      <c r="H20" s="318" t="str">
        <f t="shared" si="1"/>
        <v>Saturday</v>
      </c>
      <c r="I20" s="319">
        <v>45850.0</v>
      </c>
      <c r="J20" s="170">
        <f t="array" ref="J20">sum(IF(($P$3:$P$100=I20), $T$3:$T$100, 0))</f>
        <v>285</v>
      </c>
      <c r="L20" s="148"/>
      <c r="M20" s="132"/>
      <c r="N20" s="185"/>
      <c r="P20" s="315">
        <v>45840.0</v>
      </c>
      <c r="Q20" s="316" t="s">
        <v>119</v>
      </c>
      <c r="R20" s="316" t="s">
        <v>142</v>
      </c>
      <c r="S20" s="316" t="s">
        <v>51</v>
      </c>
      <c r="T20" s="316">
        <v>200.0</v>
      </c>
      <c r="U20" s="330"/>
      <c r="V20" s="136"/>
    </row>
    <row r="21">
      <c r="B21" s="317"/>
      <c r="C21" s="108"/>
      <c r="D21" s="108"/>
      <c r="E21" s="108"/>
      <c r="F21" s="174"/>
      <c r="H21" s="318" t="str">
        <f t="shared" si="1"/>
        <v>Sunday</v>
      </c>
      <c r="I21" s="319">
        <v>45851.0</v>
      </c>
      <c r="J21" s="170">
        <f t="array" ref="J21">sum(IF(($P$3:$P$100=I21), $T$3:$T$100, 0))</f>
        <v>460</v>
      </c>
      <c r="L21" s="112"/>
      <c r="M21" s="102"/>
      <c r="N21" s="48"/>
      <c r="P21" s="315">
        <v>45841.0</v>
      </c>
      <c r="Q21" s="316" t="s">
        <v>119</v>
      </c>
      <c r="R21" s="316" t="s">
        <v>138</v>
      </c>
      <c r="S21" s="316" t="s">
        <v>51</v>
      </c>
      <c r="T21" s="316">
        <v>400.0</v>
      </c>
      <c r="U21" s="330"/>
      <c r="V21" s="136"/>
    </row>
    <row r="22">
      <c r="B22" s="317"/>
      <c r="C22" s="112"/>
      <c r="D22" s="108"/>
      <c r="E22" s="108"/>
      <c r="F22" s="174"/>
      <c r="H22" s="318" t="str">
        <f t="shared" si="1"/>
        <v>Monday</v>
      </c>
      <c r="I22" s="319">
        <v>45852.0</v>
      </c>
      <c r="J22" s="170">
        <f t="array" ref="J22">sum(IF(($P$3:$P$100=I22), $T$3:$T$100, 0))</f>
        <v>200</v>
      </c>
      <c r="L22" s="127"/>
      <c r="M22" s="133"/>
      <c r="N22" s="68"/>
      <c r="P22" s="315">
        <v>45841.0</v>
      </c>
      <c r="Q22" s="316" t="s">
        <v>119</v>
      </c>
      <c r="R22" s="316" t="s">
        <v>142</v>
      </c>
      <c r="S22" s="316" t="s">
        <v>51</v>
      </c>
      <c r="T22" s="316">
        <v>50.0</v>
      </c>
      <c r="U22" s="330"/>
      <c r="V22" s="136"/>
    </row>
    <row r="23">
      <c r="B23" s="317"/>
      <c r="C23" s="108"/>
      <c r="D23" s="108"/>
      <c r="E23" s="108"/>
      <c r="F23" s="174"/>
      <c r="H23" s="318" t="str">
        <f t="shared" si="1"/>
        <v>Tuesday</v>
      </c>
      <c r="I23" s="319">
        <v>45853.0</v>
      </c>
      <c r="J23" s="170">
        <f t="array" ref="J23">sum(IF(($P$3:$P$100=I23), $T$3:$T$100, 0))</f>
        <v>140</v>
      </c>
      <c r="P23" s="315">
        <v>45844.0</v>
      </c>
      <c r="Q23" s="316" t="s">
        <v>114</v>
      </c>
      <c r="R23" s="316" t="s">
        <v>115</v>
      </c>
      <c r="S23" s="316" t="s">
        <v>51</v>
      </c>
      <c r="T23" s="316">
        <v>13000.0</v>
      </c>
      <c r="U23" s="330"/>
      <c r="V23" s="136"/>
    </row>
    <row r="24">
      <c r="B24" s="317"/>
      <c r="C24" s="108"/>
      <c r="D24" s="108"/>
      <c r="E24" s="108"/>
      <c r="F24" s="174"/>
      <c r="H24" s="318" t="str">
        <f t="shared" si="1"/>
        <v>Wednesday</v>
      </c>
      <c r="I24" s="319">
        <v>45854.0</v>
      </c>
      <c r="J24" s="170">
        <f t="array" ref="J24">sum(IF(($P$3:$P$100=I24), $T$3:$T$100, 0))</f>
        <v>210</v>
      </c>
      <c r="L24" s="137" t="s">
        <v>84</v>
      </c>
      <c r="M24" s="86"/>
      <c r="N24" s="138">
        <f>sum(N26:N31)</f>
        <v>0</v>
      </c>
      <c r="P24" s="315">
        <v>45844.0</v>
      </c>
      <c r="Q24" s="316" t="s">
        <v>114</v>
      </c>
      <c r="R24" s="316" t="s">
        <v>126</v>
      </c>
      <c r="S24" s="316" t="s">
        <v>51</v>
      </c>
      <c r="T24" s="316">
        <v>1080.0</v>
      </c>
      <c r="U24" s="253"/>
      <c r="V24" s="136"/>
    </row>
    <row r="25">
      <c r="B25" s="317"/>
      <c r="C25" s="112"/>
      <c r="D25" s="112"/>
      <c r="E25" s="108"/>
      <c r="F25" s="174"/>
      <c r="H25" s="318" t="str">
        <f t="shared" si="1"/>
        <v>Thursday</v>
      </c>
      <c r="I25" s="319">
        <v>45855.0</v>
      </c>
      <c r="J25" s="170">
        <f t="array" ref="J25">sum(IF(($P$3:$P$100=I25), $T$3:$T$100, 0))</f>
        <v>1220</v>
      </c>
      <c r="L25" s="139" t="s">
        <v>6</v>
      </c>
      <c r="M25" s="140" t="s">
        <v>85</v>
      </c>
      <c r="N25" s="141" t="s">
        <v>35</v>
      </c>
      <c r="P25" s="315">
        <v>45844.0</v>
      </c>
      <c r="Q25" s="316" t="s">
        <v>114</v>
      </c>
      <c r="R25" s="316" t="s">
        <v>133</v>
      </c>
      <c r="S25" s="316" t="s">
        <v>51</v>
      </c>
      <c r="T25" s="136">
        <f>600+200+20</f>
        <v>820</v>
      </c>
      <c r="U25" s="253"/>
      <c r="V25" s="136"/>
    </row>
    <row r="26">
      <c r="B26" s="317"/>
      <c r="C26" s="112"/>
      <c r="D26" s="112"/>
      <c r="E26" s="108"/>
      <c r="F26" s="174"/>
      <c r="H26" s="318" t="str">
        <f t="shared" si="1"/>
        <v>Friday</v>
      </c>
      <c r="I26" s="319">
        <v>45856.0</v>
      </c>
      <c r="J26" s="170">
        <f t="array" ref="J26">sum(IF(($P$3:$P$100=I26), $T$3:$T$100, 0))</f>
        <v>0</v>
      </c>
      <c r="L26" s="152"/>
      <c r="M26" s="47"/>
      <c r="N26" s="48"/>
      <c r="P26" s="315">
        <v>45844.0</v>
      </c>
      <c r="Q26" s="316" t="s">
        <v>134</v>
      </c>
      <c r="R26" s="316" t="s">
        <v>116</v>
      </c>
      <c r="S26" s="316" t="s">
        <v>120</v>
      </c>
      <c r="T26" s="316">
        <v>2500.0</v>
      </c>
      <c r="U26" s="330" t="s">
        <v>128</v>
      </c>
      <c r="V26" s="136"/>
    </row>
    <row r="27">
      <c r="B27" s="317"/>
      <c r="C27" s="112"/>
      <c r="D27" s="112"/>
      <c r="E27" s="108"/>
      <c r="F27" s="174"/>
      <c r="H27" s="318" t="str">
        <f t="shared" si="1"/>
        <v>Saturday</v>
      </c>
      <c r="I27" s="319">
        <v>45857.0</v>
      </c>
      <c r="J27" s="170">
        <f t="array" ref="J27">sum(IF(($P$3:$P$100=I27), $T$3:$T$100, 0))</f>
        <v>0</v>
      </c>
      <c r="L27" s="152"/>
      <c r="M27" s="47"/>
      <c r="N27" s="48"/>
      <c r="P27" s="315">
        <v>45845.0</v>
      </c>
      <c r="Q27" s="316" t="s">
        <v>131</v>
      </c>
      <c r="R27" s="316" t="s">
        <v>148</v>
      </c>
      <c r="S27" s="316" t="s">
        <v>51</v>
      </c>
      <c r="T27" s="316">
        <v>20.0</v>
      </c>
      <c r="U27" s="330"/>
      <c r="V27" s="136"/>
    </row>
    <row r="28">
      <c r="B28" s="317"/>
      <c r="C28" s="112"/>
      <c r="D28" s="112"/>
      <c r="E28" s="108"/>
      <c r="F28" s="174"/>
      <c r="H28" s="318" t="str">
        <f t="shared" si="1"/>
        <v>Sunday</v>
      </c>
      <c r="I28" s="319">
        <v>45858.0</v>
      </c>
      <c r="J28" s="170">
        <f t="array" ref="J28">sum(IF(($P$3:$P$100=I28), $T$3:$T$100, 0))</f>
        <v>420</v>
      </c>
      <c r="L28" s="152"/>
      <c r="M28" s="47"/>
      <c r="N28" s="48"/>
      <c r="P28" s="315">
        <v>45847.0</v>
      </c>
      <c r="Q28" s="316" t="s">
        <v>119</v>
      </c>
      <c r="R28" s="316" t="s">
        <v>142</v>
      </c>
      <c r="S28" s="316" t="s">
        <v>51</v>
      </c>
      <c r="T28" s="316">
        <v>140.0</v>
      </c>
      <c r="U28" s="330"/>
      <c r="V28" s="136"/>
    </row>
    <row r="29">
      <c r="B29" s="317"/>
      <c r="C29" s="108"/>
      <c r="D29" s="108"/>
      <c r="E29" s="108"/>
      <c r="F29" s="174"/>
      <c r="H29" s="318" t="str">
        <f t="shared" si="1"/>
        <v>Monday</v>
      </c>
      <c r="I29" s="319">
        <v>45859.0</v>
      </c>
      <c r="J29" s="170">
        <f t="array" ref="J29">sum(IF(($P$3:$P$100=I29), $T$3:$T$100, 0))</f>
        <v>260</v>
      </c>
      <c r="L29" s="152"/>
      <c r="M29" s="47"/>
      <c r="N29" s="48"/>
      <c r="P29" s="315">
        <v>45849.0</v>
      </c>
      <c r="Q29" s="316" t="s">
        <v>26</v>
      </c>
      <c r="R29" s="316" t="s">
        <v>26</v>
      </c>
      <c r="S29" s="316" t="s">
        <v>51</v>
      </c>
      <c r="T29" s="316">
        <v>10.0</v>
      </c>
      <c r="U29" s="253"/>
      <c r="V29" s="136"/>
    </row>
    <row r="30">
      <c r="B30" s="317"/>
      <c r="C30" s="112"/>
      <c r="D30" s="112"/>
      <c r="E30" s="108"/>
      <c r="F30" s="174"/>
      <c r="H30" s="318" t="str">
        <f t="shared" si="1"/>
        <v>Tuesday</v>
      </c>
      <c r="I30" s="319">
        <v>45860.0</v>
      </c>
      <c r="J30" s="170">
        <f t="array" ref="J30">sum(IF(($P$3:$P$100=I30), $T$3:$T$100, 0))</f>
        <v>670</v>
      </c>
      <c r="L30" s="152"/>
      <c r="M30" s="47"/>
      <c r="N30" s="48"/>
      <c r="P30" s="315">
        <v>45849.0</v>
      </c>
      <c r="Q30" s="316" t="s">
        <v>131</v>
      </c>
      <c r="R30" s="316" t="s">
        <v>23</v>
      </c>
      <c r="S30" s="316" t="s">
        <v>51</v>
      </c>
      <c r="T30" s="316">
        <v>30.0</v>
      </c>
      <c r="U30" s="330"/>
      <c r="V30" s="136"/>
    </row>
    <row r="31">
      <c r="B31" s="317"/>
      <c r="C31" s="108"/>
      <c r="D31" s="108"/>
      <c r="E31" s="108"/>
      <c r="F31" s="174"/>
      <c r="H31" s="318" t="str">
        <f t="shared" si="1"/>
        <v>Wednesday</v>
      </c>
      <c r="I31" s="319">
        <v>45861.0</v>
      </c>
      <c r="J31" s="170">
        <f t="array" ref="J31">sum(IF(($P$3:$P$100=I31), $T$3:$T$100, 0))</f>
        <v>100</v>
      </c>
      <c r="L31" s="153"/>
      <c r="M31" s="154"/>
      <c r="N31" s="68"/>
      <c r="P31" s="315">
        <v>45849.0</v>
      </c>
      <c r="Q31" s="316" t="s">
        <v>131</v>
      </c>
      <c r="R31" s="316" t="s">
        <v>148</v>
      </c>
      <c r="S31" s="316" t="s">
        <v>51</v>
      </c>
      <c r="T31" s="316">
        <f>30+60</f>
        <v>90</v>
      </c>
      <c r="U31" s="330"/>
      <c r="V31" s="136"/>
    </row>
    <row r="32">
      <c r="B32" s="317"/>
      <c r="C32" s="108"/>
      <c r="D32" s="108"/>
      <c r="E32" s="108"/>
      <c r="F32" s="174"/>
      <c r="H32" s="318" t="str">
        <f t="shared" si="1"/>
        <v>Thursday</v>
      </c>
      <c r="I32" s="319">
        <v>45862.0</v>
      </c>
      <c r="J32" s="170">
        <f t="array" ref="J32">sum(IF(($P$3:$P$100=I32), $T$3:$T$100, 0))</f>
        <v>536</v>
      </c>
      <c r="P32" s="315">
        <v>45849.0</v>
      </c>
      <c r="Q32" s="316" t="s">
        <v>119</v>
      </c>
      <c r="R32" s="316" t="s">
        <v>138</v>
      </c>
      <c r="S32" s="316" t="s">
        <v>51</v>
      </c>
      <c r="T32" s="316">
        <f>300+40</f>
        <v>340</v>
      </c>
      <c r="U32" s="253"/>
      <c r="V32" s="136"/>
    </row>
    <row r="33">
      <c r="B33" s="317"/>
      <c r="C33" s="108"/>
      <c r="D33" s="108"/>
      <c r="E33" s="108"/>
      <c r="F33" s="174"/>
      <c r="H33" s="318" t="str">
        <f t="shared" si="1"/>
        <v>Friday</v>
      </c>
      <c r="I33" s="319">
        <v>45863.0</v>
      </c>
      <c r="J33" s="170">
        <f t="array" ref="J33">sum(IF(($P$3:$P$100=I33), $T$3:$T$100, 0))</f>
        <v>1200</v>
      </c>
      <c r="L33" s="137"/>
      <c r="M33" s="86"/>
      <c r="N33" s="138">
        <f>sum(N35:N40)</f>
        <v>0</v>
      </c>
      <c r="P33" s="315">
        <v>45849.0</v>
      </c>
      <c r="Q33" s="316" t="s">
        <v>119</v>
      </c>
      <c r="R33" s="316" t="s">
        <v>141</v>
      </c>
      <c r="S33" s="316" t="s">
        <v>51</v>
      </c>
      <c r="T33" s="316">
        <v>1000.0</v>
      </c>
      <c r="U33" s="253"/>
      <c r="V33" s="136"/>
    </row>
    <row r="34">
      <c r="B34" s="317"/>
      <c r="C34" s="112"/>
      <c r="D34" s="112"/>
      <c r="E34" s="108"/>
      <c r="F34" s="174"/>
      <c r="H34" s="318" t="str">
        <f t="shared" si="1"/>
        <v>Saturday</v>
      </c>
      <c r="I34" s="319">
        <v>45864.0</v>
      </c>
      <c r="J34" s="170">
        <f t="array" ref="J34">sum(IF(($P$3:$P$100=I34), $T$3:$T$100, 0))</f>
        <v>0</v>
      </c>
      <c r="L34" s="139"/>
      <c r="M34" s="140"/>
      <c r="N34" s="141"/>
      <c r="P34" s="315">
        <v>45850.0</v>
      </c>
      <c r="Q34" s="316" t="s">
        <v>123</v>
      </c>
      <c r="R34" s="316" t="s">
        <v>144</v>
      </c>
      <c r="S34" s="316" t="s">
        <v>51</v>
      </c>
      <c r="T34" s="316">
        <v>40.0</v>
      </c>
      <c r="U34" s="253"/>
      <c r="V34" s="136"/>
    </row>
    <row r="35">
      <c r="B35" s="317"/>
      <c r="C35" s="112"/>
      <c r="D35" s="112"/>
      <c r="E35" s="108"/>
      <c r="F35" s="174"/>
      <c r="H35" s="318" t="str">
        <f t="shared" si="1"/>
        <v>Sunday</v>
      </c>
      <c r="I35" s="319">
        <v>45865.0</v>
      </c>
      <c r="J35" s="170">
        <f t="array" ref="J35">sum(IF(($P$3:$P$100=I35), $T$3:$T$100, 0))</f>
        <v>0</v>
      </c>
      <c r="L35" s="293"/>
      <c r="M35" s="316"/>
      <c r="N35" s="341"/>
      <c r="P35" s="315">
        <v>45850.0</v>
      </c>
      <c r="Q35" s="316" t="s">
        <v>119</v>
      </c>
      <c r="R35" s="316" t="s">
        <v>142</v>
      </c>
      <c r="S35" s="316" t="s">
        <v>51</v>
      </c>
      <c r="T35" s="316">
        <f>45+200</f>
        <v>245</v>
      </c>
      <c r="U35" s="253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315">
        <v>45851.0</v>
      </c>
      <c r="Q36" s="316" t="s">
        <v>131</v>
      </c>
      <c r="R36" s="316" t="s">
        <v>131</v>
      </c>
      <c r="S36" s="316" t="s">
        <v>51</v>
      </c>
      <c r="T36" s="316">
        <v>350.0</v>
      </c>
      <c r="U36" s="330" t="s">
        <v>189</v>
      </c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315">
        <v>45851.0</v>
      </c>
      <c r="Q37" s="316" t="s">
        <v>123</v>
      </c>
      <c r="R37" s="316" t="s">
        <v>145</v>
      </c>
      <c r="S37" s="316" t="s">
        <v>51</v>
      </c>
      <c r="T37" s="316">
        <v>90.0</v>
      </c>
      <c r="U37" s="253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315">
        <v>45851.0</v>
      </c>
      <c r="Q38" s="316" t="s">
        <v>26</v>
      </c>
      <c r="R38" s="316" t="s">
        <v>26</v>
      </c>
      <c r="S38" s="316" t="s">
        <v>51</v>
      </c>
      <c r="T38" s="316">
        <v>20.0</v>
      </c>
      <c r="U38" s="253"/>
      <c r="V38" s="136"/>
    </row>
    <row r="39">
      <c r="B39" s="191"/>
      <c r="C39" s="127"/>
      <c r="D39" s="127"/>
      <c r="E39" s="123"/>
      <c r="F39" s="192"/>
      <c r="H39" s="346"/>
      <c r="I39" s="156"/>
      <c r="J39" s="192"/>
      <c r="L39" s="287"/>
      <c r="M39" s="289"/>
      <c r="N39" s="128"/>
      <c r="P39" s="315">
        <v>45852.0</v>
      </c>
      <c r="Q39" s="316" t="s">
        <v>26</v>
      </c>
      <c r="R39" s="316" t="s">
        <v>26</v>
      </c>
      <c r="S39" s="316" t="s">
        <v>51</v>
      </c>
      <c r="T39" s="316">
        <v>200.0</v>
      </c>
      <c r="U39" s="253"/>
      <c r="V39" s="136"/>
    </row>
    <row r="40">
      <c r="P40" s="315">
        <v>45853.0</v>
      </c>
      <c r="Q40" s="316" t="s">
        <v>119</v>
      </c>
      <c r="R40" s="316" t="s">
        <v>142</v>
      </c>
      <c r="S40" s="316" t="s">
        <v>51</v>
      </c>
      <c r="T40" s="316">
        <v>140.0</v>
      </c>
      <c r="U40" s="253"/>
      <c r="V40" s="136"/>
    </row>
    <row r="41">
      <c r="P41" s="315">
        <v>45854.0</v>
      </c>
      <c r="Q41" s="316" t="s">
        <v>119</v>
      </c>
      <c r="R41" s="316" t="s">
        <v>142</v>
      </c>
      <c r="S41" s="316" t="s">
        <v>51</v>
      </c>
      <c r="T41" s="316">
        <v>160.0</v>
      </c>
      <c r="U41" s="253"/>
      <c r="V41" s="136"/>
    </row>
    <row r="42">
      <c r="B42" s="347" t="s">
        <v>173</v>
      </c>
      <c r="C42" s="86"/>
      <c r="D42" s="86"/>
      <c r="E42" s="86"/>
      <c r="F42" s="86"/>
      <c r="G42" s="86"/>
      <c r="H42" s="86"/>
      <c r="I42" s="86"/>
      <c r="J42" s="86"/>
      <c r="K42" s="81"/>
      <c r="P42" s="315">
        <v>45854.0</v>
      </c>
      <c r="Q42" s="316" t="s">
        <v>26</v>
      </c>
      <c r="R42" s="316" t="s">
        <v>151</v>
      </c>
      <c r="S42" s="316" t="s">
        <v>51</v>
      </c>
      <c r="T42" s="316">
        <v>20.0</v>
      </c>
      <c r="U42" s="253"/>
      <c r="V42" s="136"/>
    </row>
    <row r="43">
      <c r="B43" s="348"/>
      <c r="C43" s="94"/>
      <c r="D43" s="94"/>
      <c r="E43" s="94"/>
      <c r="F43" s="94"/>
      <c r="G43" s="94"/>
      <c r="H43" s="94"/>
      <c r="I43" s="94"/>
      <c r="J43" s="94"/>
      <c r="K43" s="93"/>
      <c r="P43" s="315">
        <v>45855.0</v>
      </c>
      <c r="Q43" s="316" t="s">
        <v>119</v>
      </c>
      <c r="R43" s="316" t="s">
        <v>142</v>
      </c>
      <c r="S43" s="316" t="s">
        <v>51</v>
      </c>
      <c r="T43" s="316">
        <v>380.0</v>
      </c>
      <c r="U43" s="253"/>
      <c r="V43" s="136"/>
    </row>
    <row r="44">
      <c r="B44" s="349" t="s">
        <v>107</v>
      </c>
      <c r="C44" s="158"/>
      <c r="D44" s="159"/>
      <c r="E44" s="350" t="s">
        <v>43</v>
      </c>
      <c r="F44" s="351" t="s">
        <v>108</v>
      </c>
      <c r="G44" s="158"/>
      <c r="H44" s="159"/>
      <c r="I44" s="350" t="s">
        <v>43</v>
      </c>
      <c r="J44" s="352" t="s">
        <v>4</v>
      </c>
      <c r="K44" s="159"/>
      <c r="P44" s="315">
        <v>45858.0</v>
      </c>
      <c r="Q44" s="316" t="s">
        <v>123</v>
      </c>
      <c r="R44" s="316" t="s">
        <v>144</v>
      </c>
      <c r="S44" s="316" t="s">
        <v>51</v>
      </c>
      <c r="T44" s="316">
        <v>420.0</v>
      </c>
      <c r="U44" s="253"/>
      <c r="V44" s="136"/>
    </row>
    <row r="45">
      <c r="B45" s="353" t="s">
        <v>114</v>
      </c>
      <c r="C45" s="86"/>
      <c r="D45" s="81"/>
      <c r="E45" s="354">
        <f>Sum(I45:I50)</f>
        <v>16970</v>
      </c>
      <c r="F45" s="355" t="str">
        <f t="array" ref="F45:F73">INDIRECT("Subcategory")</f>
        <v>HouseRent</v>
      </c>
      <c r="G45" s="86"/>
      <c r="H45" s="81"/>
      <c r="I45" s="378">
        <v>13000.0</v>
      </c>
      <c r="J45" s="379">
        <f t="array" ref="J45">sum(IF(($R$3:$R$100=F45), $T$3:$T$100, 0))</f>
        <v>13000</v>
      </c>
      <c r="K45" s="159"/>
      <c r="P45" s="315">
        <v>45859.0</v>
      </c>
      <c r="Q45" s="316" t="s">
        <v>119</v>
      </c>
      <c r="R45" s="316" t="s">
        <v>138</v>
      </c>
      <c r="S45" s="316" t="s">
        <v>51</v>
      </c>
      <c r="T45" s="316">
        <v>70.0</v>
      </c>
      <c r="U45" s="253"/>
      <c r="V45" s="136"/>
    </row>
    <row r="46">
      <c r="B46" s="358"/>
      <c r="D46" s="359"/>
      <c r="E46" s="360"/>
      <c r="F46" s="361" t="s">
        <v>118</v>
      </c>
      <c r="H46" s="359"/>
      <c r="I46" s="380">
        <v>800.0</v>
      </c>
      <c r="J46" s="379">
        <f t="array" ref="J46">sum(IF(($R$3:$R$100=F46), $T$3:$T$100, 0))</f>
        <v>805</v>
      </c>
      <c r="K46" s="159"/>
      <c r="L46" s="298">
        <f>I45+I48+I50</f>
        <v>14880</v>
      </c>
      <c r="P46" s="315">
        <v>45859.0</v>
      </c>
      <c r="Q46" s="316" t="s">
        <v>131</v>
      </c>
      <c r="R46" s="316" t="s">
        <v>145</v>
      </c>
      <c r="S46" s="316" t="s">
        <v>51</v>
      </c>
      <c r="T46" s="316">
        <v>100.0</v>
      </c>
      <c r="U46" s="253"/>
      <c r="V46" s="136"/>
    </row>
    <row r="47">
      <c r="B47" s="358"/>
      <c r="D47" s="359"/>
      <c r="E47" s="360"/>
      <c r="F47" s="361" t="s">
        <v>122</v>
      </c>
      <c r="H47" s="359"/>
      <c r="I47" s="380">
        <v>450.0</v>
      </c>
      <c r="J47" s="379">
        <f t="array" ref="J47">sum(IF(($R$3:$R$100=F47), $T$3:$T$100, 0))</f>
        <v>386</v>
      </c>
      <c r="K47" s="159"/>
      <c r="P47" s="315">
        <v>45859.0</v>
      </c>
      <c r="Q47" s="316" t="s">
        <v>131</v>
      </c>
      <c r="R47" s="316" t="s">
        <v>131</v>
      </c>
      <c r="S47" s="316" t="s">
        <v>51</v>
      </c>
      <c r="T47" s="316">
        <v>90.0</v>
      </c>
      <c r="U47" s="253"/>
      <c r="V47" s="136"/>
    </row>
    <row r="48">
      <c r="B48" s="358"/>
      <c r="D48" s="359"/>
      <c r="E48" s="360"/>
      <c r="F48" s="361" t="s">
        <v>126</v>
      </c>
      <c r="H48" s="359"/>
      <c r="I48" s="378">
        <v>1080.0</v>
      </c>
      <c r="J48" s="379">
        <f t="array" ref="J48">sum(IF(($R$3:$R$100=F48), $T$3:$T$100, 0))</f>
        <v>1080</v>
      </c>
      <c r="K48" s="159"/>
      <c r="L48" s="298">
        <f>sum(I45:I50)</f>
        <v>16970</v>
      </c>
      <c r="P48" s="315">
        <v>45860.0</v>
      </c>
      <c r="Q48" s="316" t="s">
        <v>119</v>
      </c>
      <c r="R48" s="316" t="s">
        <v>141</v>
      </c>
      <c r="S48" s="316" t="s">
        <v>51</v>
      </c>
      <c r="T48" s="316">
        <v>500.0</v>
      </c>
      <c r="U48" s="253"/>
      <c r="V48" s="136"/>
    </row>
    <row r="49">
      <c r="B49" s="358"/>
      <c r="D49" s="359"/>
      <c r="E49" s="360"/>
      <c r="F49" s="361" t="s">
        <v>130</v>
      </c>
      <c r="H49" s="359"/>
      <c r="I49" s="380">
        <v>840.0</v>
      </c>
      <c r="J49" s="379">
        <f t="array" ref="J49">sum(IF(($R$3:$R$100=F49), $T$3:$T$100, 0))</f>
        <v>840</v>
      </c>
      <c r="K49" s="159"/>
      <c r="P49" s="375">
        <v>45860.0</v>
      </c>
      <c r="Q49" s="376" t="s">
        <v>26</v>
      </c>
      <c r="R49" s="376" t="s">
        <v>151</v>
      </c>
      <c r="S49" s="376" t="s">
        <v>51</v>
      </c>
      <c r="T49" s="376">
        <v>100.0</v>
      </c>
      <c r="U49" s="381"/>
      <c r="V49" s="136"/>
    </row>
    <row r="50">
      <c r="B50" s="348"/>
      <c r="C50" s="94"/>
      <c r="D50" s="93"/>
      <c r="E50" s="14"/>
      <c r="F50" s="364" t="s">
        <v>133</v>
      </c>
      <c r="G50" s="94"/>
      <c r="H50" s="93"/>
      <c r="I50" s="378">
        <f>200+600</f>
        <v>800</v>
      </c>
      <c r="J50" s="379">
        <f t="array" ref="J50">sum(IF(($R$3:$R$100=F50), $T$3:$T$100, 0))</f>
        <v>820</v>
      </c>
      <c r="K50" s="159"/>
      <c r="P50" s="315">
        <v>45861.0</v>
      </c>
      <c r="Q50" s="316" t="s">
        <v>26</v>
      </c>
      <c r="R50" s="316" t="s">
        <v>26</v>
      </c>
      <c r="S50" s="316" t="s">
        <v>51</v>
      </c>
      <c r="T50" s="316">
        <v>100.0</v>
      </c>
      <c r="U50" s="253"/>
      <c r="V50" s="136"/>
    </row>
    <row r="51">
      <c r="B51" s="353" t="s">
        <v>119</v>
      </c>
      <c r="C51" s="86"/>
      <c r="D51" s="81"/>
      <c r="E51" s="356">
        <f>Sum(I51:I54)</f>
        <v>9500</v>
      </c>
      <c r="F51" s="355" t="s">
        <v>135</v>
      </c>
      <c r="G51" s="86"/>
      <c r="H51" s="81"/>
      <c r="I51" s="378">
        <v>2000.0</v>
      </c>
      <c r="J51" s="379">
        <f t="array" ref="J51">sum(IF(($R$3:$R$100=F51), $T$3:$T$100, 0))</f>
        <v>1045</v>
      </c>
      <c r="K51" s="159"/>
      <c r="L51" s="298">
        <f>800+450+840+300</f>
        <v>2390</v>
      </c>
      <c r="P51" s="315">
        <v>45860.0</v>
      </c>
      <c r="Q51" s="316" t="s">
        <v>119</v>
      </c>
      <c r="R51" s="316" t="s">
        <v>138</v>
      </c>
      <c r="S51" s="316" t="s">
        <v>51</v>
      </c>
      <c r="T51" s="316">
        <v>70.0</v>
      </c>
      <c r="U51" s="253"/>
      <c r="V51" s="136"/>
    </row>
    <row r="52">
      <c r="B52" s="358"/>
      <c r="D52" s="359"/>
      <c r="E52" s="360"/>
      <c r="F52" s="361" t="s">
        <v>138</v>
      </c>
      <c r="H52" s="359"/>
      <c r="I52" s="378">
        <v>1000.0</v>
      </c>
      <c r="J52" s="379">
        <f t="array" ref="J52">sum(IF(($R$3:$R$100=F52), $T$3:$T$100, 0))</f>
        <v>1910</v>
      </c>
      <c r="K52" s="159"/>
      <c r="P52" s="315">
        <v>45862.0</v>
      </c>
      <c r="Q52" s="316" t="s">
        <v>131</v>
      </c>
      <c r="R52" s="316" t="s">
        <v>131</v>
      </c>
      <c r="S52" s="316" t="s">
        <v>51</v>
      </c>
      <c r="T52" s="316">
        <v>150.0</v>
      </c>
      <c r="U52" s="253"/>
      <c r="V52" s="136"/>
    </row>
    <row r="53">
      <c r="B53" s="358"/>
      <c r="D53" s="359"/>
      <c r="E53" s="360"/>
      <c r="F53" s="361" t="s">
        <v>141</v>
      </c>
      <c r="H53" s="359"/>
      <c r="I53" s="378">
        <v>6000.0</v>
      </c>
      <c r="J53" s="379">
        <f t="array" ref="J53">sum(IF(($R$3:$R$100=F53), $T$3:$T$100, 0))</f>
        <v>7940</v>
      </c>
      <c r="K53" s="159"/>
      <c r="P53" s="315">
        <v>45863.0</v>
      </c>
      <c r="Q53" s="316" t="s">
        <v>26</v>
      </c>
      <c r="R53" s="316" t="s">
        <v>26</v>
      </c>
      <c r="S53" s="316" t="s">
        <v>51</v>
      </c>
      <c r="T53" s="316">
        <f>10+20</f>
        <v>30</v>
      </c>
      <c r="U53" s="253"/>
      <c r="V53" s="136"/>
    </row>
    <row r="54">
      <c r="B54" s="348"/>
      <c r="C54" s="94"/>
      <c r="D54" s="93"/>
      <c r="E54" s="14"/>
      <c r="F54" s="364" t="s">
        <v>142</v>
      </c>
      <c r="G54" s="94"/>
      <c r="H54" s="93"/>
      <c r="I54" s="378">
        <v>500.0</v>
      </c>
      <c r="J54" s="379">
        <f t="array" ref="J54">sum(IF(($R$3:$R$100=F54), $T$3:$T$100, 0))</f>
        <v>1555</v>
      </c>
      <c r="K54" s="159"/>
      <c r="P54" s="315">
        <v>45863.0</v>
      </c>
      <c r="Q54" s="316" t="s">
        <v>119</v>
      </c>
      <c r="R54" s="316" t="s">
        <v>138</v>
      </c>
      <c r="S54" s="316" t="s">
        <v>51</v>
      </c>
      <c r="T54" s="136">
        <f>300+430</f>
        <v>730</v>
      </c>
      <c r="U54" s="253"/>
      <c r="V54" s="136"/>
    </row>
    <row r="55">
      <c r="B55" s="353" t="s">
        <v>123</v>
      </c>
      <c r="C55" s="86"/>
      <c r="D55" s="81"/>
      <c r="E55" s="356"/>
      <c r="F55" s="355" t="s">
        <v>123</v>
      </c>
      <c r="G55" s="86"/>
      <c r="H55" s="81"/>
      <c r="I55" s="382">
        <v>1000.0</v>
      </c>
      <c r="J55" s="379">
        <f t="array" ref="J55">sum(IF(($R$3:$R$100=F55), $T$3:$T$100, 0))</f>
        <v>680</v>
      </c>
      <c r="K55" s="159"/>
      <c r="P55" s="315">
        <v>45863.0</v>
      </c>
      <c r="Q55" s="316" t="s">
        <v>119</v>
      </c>
      <c r="R55" s="316" t="s">
        <v>141</v>
      </c>
      <c r="S55" s="316" t="s">
        <v>51</v>
      </c>
      <c r="T55" s="316">
        <v>440.0</v>
      </c>
      <c r="U55" s="253"/>
      <c r="V55" s="136"/>
    </row>
    <row r="56">
      <c r="B56" s="358"/>
      <c r="D56" s="359"/>
      <c r="E56" s="360"/>
      <c r="F56" s="361" t="s">
        <v>144</v>
      </c>
      <c r="H56" s="359"/>
      <c r="I56" s="378">
        <v>1000.0</v>
      </c>
      <c r="J56" s="379">
        <f t="array" ref="J56">sum(IF(($R$3:$R$100=F56), $T$3:$T$100, 0))</f>
        <v>460</v>
      </c>
      <c r="K56" s="159"/>
      <c r="P56" s="315">
        <v>45849.0</v>
      </c>
      <c r="Q56" s="316" t="s">
        <v>127</v>
      </c>
      <c r="R56" s="316" t="s">
        <v>147</v>
      </c>
      <c r="S56" s="316" t="s">
        <v>12</v>
      </c>
      <c r="T56" s="316">
        <v>208.0</v>
      </c>
      <c r="U56" s="253"/>
      <c r="V56" s="136"/>
    </row>
    <row r="57">
      <c r="B57" s="348"/>
      <c r="C57" s="94"/>
      <c r="D57" s="93"/>
      <c r="E57" s="14"/>
      <c r="F57" s="364" t="s">
        <v>145</v>
      </c>
      <c r="G57" s="94"/>
      <c r="H57" s="93"/>
      <c r="I57" s="378">
        <v>300.0</v>
      </c>
      <c r="J57" s="379">
        <f t="array" ref="J57">sum(IF(($R$3:$R$100=F57), $T$3:$T$100, 0))</f>
        <v>190</v>
      </c>
      <c r="K57" s="159"/>
      <c r="P57" s="315">
        <v>45855.0</v>
      </c>
      <c r="Q57" s="316" t="s">
        <v>114</v>
      </c>
      <c r="R57" s="316" t="s">
        <v>130</v>
      </c>
      <c r="S57" s="316" t="s">
        <v>12</v>
      </c>
      <c r="T57" s="316">
        <v>840.0</v>
      </c>
      <c r="U57" s="253"/>
      <c r="V57" s="136"/>
    </row>
    <row r="58">
      <c r="B58" s="353" t="s">
        <v>127</v>
      </c>
      <c r="C58" s="86"/>
      <c r="D58" s="81"/>
      <c r="E58" s="356"/>
      <c r="F58" s="355" t="s">
        <v>146</v>
      </c>
      <c r="G58" s="86"/>
      <c r="H58" s="81"/>
      <c r="I58" s="380">
        <v>100.0</v>
      </c>
      <c r="J58" s="379">
        <f t="array" ref="J58">sum(IF(($R$3:$R$100=F58), $T$3:$T$100, 0))</f>
        <v>30</v>
      </c>
      <c r="K58" s="159"/>
      <c r="P58" s="315">
        <v>45862.0</v>
      </c>
      <c r="Q58" s="316" t="s">
        <v>114</v>
      </c>
      <c r="R58" s="316" t="s">
        <v>122</v>
      </c>
      <c r="S58" s="316" t="s">
        <v>12</v>
      </c>
      <c r="T58" s="316">
        <v>386.0</v>
      </c>
      <c r="U58" s="253"/>
      <c r="V58" s="136"/>
    </row>
    <row r="59">
      <c r="B59" s="348"/>
      <c r="C59" s="94"/>
      <c r="D59" s="93"/>
      <c r="E59" s="14"/>
      <c r="F59" s="364" t="s">
        <v>147</v>
      </c>
      <c r="G59" s="94"/>
      <c r="H59" s="93"/>
      <c r="I59" s="380">
        <v>300.0</v>
      </c>
      <c r="J59" s="379">
        <f t="array" ref="J59">sum(IF(($R$3:$R$100=F59), $T$3:$T$100, 0))</f>
        <v>258</v>
      </c>
      <c r="K59" s="159"/>
      <c r="P59" s="315">
        <v>45844.0</v>
      </c>
      <c r="Q59" s="316" t="s">
        <v>127</v>
      </c>
      <c r="R59" s="316" t="s">
        <v>147</v>
      </c>
      <c r="S59" s="316" t="s">
        <v>65</v>
      </c>
      <c r="T59" s="316">
        <v>50.0</v>
      </c>
      <c r="U59" s="253"/>
      <c r="V59" s="136"/>
    </row>
    <row r="60">
      <c r="B60" s="353" t="s">
        <v>131</v>
      </c>
      <c r="C60" s="86"/>
      <c r="D60" s="81"/>
      <c r="E60" s="356"/>
      <c r="F60" s="355" t="s">
        <v>148</v>
      </c>
      <c r="G60" s="86"/>
      <c r="H60" s="81"/>
      <c r="I60" s="378">
        <v>0.0</v>
      </c>
      <c r="J60" s="379">
        <f t="array" ref="J60">sum(IF(($R$3:$R$100=F60), $T$3:$T$100, 0))</f>
        <v>110</v>
      </c>
      <c r="K60" s="159"/>
      <c r="P60" s="315">
        <v>45854.0</v>
      </c>
      <c r="Q60" s="316" t="s">
        <v>127</v>
      </c>
      <c r="R60" s="316" t="s">
        <v>146</v>
      </c>
      <c r="S60" s="316" t="s">
        <v>65</v>
      </c>
      <c r="T60" s="316">
        <v>30.0</v>
      </c>
      <c r="U60" s="253"/>
      <c r="V60" s="136"/>
    </row>
    <row r="61">
      <c r="B61" s="358"/>
      <c r="D61" s="359"/>
      <c r="E61" s="360"/>
      <c r="F61" s="361" t="s">
        <v>23</v>
      </c>
      <c r="H61" s="359"/>
      <c r="I61" s="378">
        <v>700.0</v>
      </c>
      <c r="J61" s="379">
        <f t="array" ref="J61">sum(IF(($R$3:$R$100=F61), $T$3:$T$100, 0))</f>
        <v>875</v>
      </c>
      <c r="K61" s="159"/>
      <c r="P61" s="315"/>
      <c r="Q61" s="316"/>
      <c r="R61" s="316"/>
      <c r="S61" s="316"/>
      <c r="T61" s="316"/>
      <c r="U61" s="253"/>
      <c r="V61" s="136"/>
    </row>
    <row r="62">
      <c r="B62" s="348"/>
      <c r="C62" s="94"/>
      <c r="D62" s="93"/>
      <c r="E62" s="14"/>
      <c r="F62" s="364" t="s">
        <v>149</v>
      </c>
      <c r="G62" s="94"/>
      <c r="H62" s="93"/>
      <c r="I62" s="378">
        <v>3500.0</v>
      </c>
      <c r="J62" s="379">
        <f t="array" ref="J62">sum(IF(($R$3:$R$100=F62), $T$3:$T$100, 0))</f>
        <v>0</v>
      </c>
      <c r="K62" s="159"/>
      <c r="P62" s="315"/>
      <c r="Q62" s="316"/>
      <c r="R62" s="316"/>
      <c r="S62" s="316"/>
      <c r="T62" s="316"/>
      <c r="U62" s="253"/>
      <c r="V62" s="136"/>
    </row>
    <row r="63">
      <c r="B63" s="367" t="s">
        <v>134</v>
      </c>
      <c r="D63" s="359"/>
      <c r="E63" s="362"/>
      <c r="F63" s="361" t="s">
        <v>150</v>
      </c>
      <c r="H63" s="359"/>
      <c r="I63" s="380">
        <v>2500.0</v>
      </c>
      <c r="J63" s="379">
        <f t="array" ref="J63">sum(IF(($R$3:$R$100=F63), $T$3:$T$100, 0))</f>
        <v>0</v>
      </c>
      <c r="K63" s="159"/>
      <c r="P63" s="315"/>
      <c r="Q63" s="316"/>
      <c r="R63" s="316"/>
      <c r="S63" s="316"/>
      <c r="T63" s="316"/>
      <c r="U63" s="253"/>
      <c r="V63" s="136"/>
    </row>
    <row r="64">
      <c r="B64" s="358"/>
      <c r="D64" s="359"/>
      <c r="E64" s="360"/>
      <c r="F64" s="361" t="s">
        <v>131</v>
      </c>
      <c r="H64" s="359"/>
      <c r="I64" s="369"/>
      <c r="J64" s="379">
        <f t="array" ref="J64">sum(IF(($R$3:$R$100=F64), $T$3:$T$100, 0))</f>
        <v>4120</v>
      </c>
      <c r="K64" s="159"/>
      <c r="P64" s="315"/>
      <c r="Q64" s="316"/>
      <c r="R64" s="316"/>
      <c r="S64" s="316"/>
      <c r="T64" s="316"/>
      <c r="U64" s="253"/>
      <c r="V64" s="136"/>
    </row>
    <row r="65">
      <c r="B65" s="368" t="s">
        <v>26</v>
      </c>
      <c r="C65" s="158"/>
      <c r="D65" s="159"/>
      <c r="E65" s="369"/>
      <c r="F65" s="370" t="s">
        <v>116</v>
      </c>
      <c r="G65" s="158"/>
      <c r="H65" s="159"/>
      <c r="I65" s="378">
        <v>130.0</v>
      </c>
      <c r="J65" s="379">
        <f t="array" ref="J65">sum(IF(($R$3:$R$100=F65), $T$3:$T$100, 0))</f>
        <v>2500</v>
      </c>
      <c r="K65" s="159"/>
      <c r="P65" s="315"/>
      <c r="Q65" s="316"/>
      <c r="R65" s="316"/>
      <c r="S65" s="316"/>
      <c r="T65" s="316"/>
      <c r="U65" s="253"/>
      <c r="V65" s="136"/>
    </row>
    <row r="66">
      <c r="F66" s="298" t="s">
        <v>121</v>
      </c>
      <c r="P66" s="315"/>
      <c r="Q66" s="316"/>
      <c r="R66" s="316"/>
      <c r="S66" s="316"/>
      <c r="T66" s="316"/>
      <c r="U66" s="253"/>
      <c r="V66" s="136"/>
    </row>
    <row r="67">
      <c r="F67" s="298" t="s">
        <v>125</v>
      </c>
      <c r="H67" s="10" t="s">
        <v>96</v>
      </c>
      <c r="I67" s="136">
        <f t="shared" ref="I67:J67" si="2">SUM(I45:I65)</f>
        <v>36000</v>
      </c>
      <c r="J67" s="136">
        <f t="shared" si="2"/>
        <v>38604</v>
      </c>
      <c r="P67" s="315"/>
      <c r="Q67" s="316"/>
      <c r="R67" s="316"/>
      <c r="S67" s="316"/>
      <c r="T67" s="316"/>
      <c r="U67" s="253"/>
      <c r="V67" s="136"/>
    </row>
    <row r="68">
      <c r="F68" s="298" t="s">
        <v>129</v>
      </c>
      <c r="H68" s="10" t="s">
        <v>190</v>
      </c>
      <c r="I68" s="136">
        <f t="shared" ref="I68:J68" si="3">I46+I47+I49+I58+I59+I63</f>
        <v>4990</v>
      </c>
      <c r="J68" s="136">
        <f t="shared" si="3"/>
        <v>2319</v>
      </c>
      <c r="P68" s="315"/>
      <c r="Q68" s="316"/>
      <c r="R68" s="316"/>
      <c r="S68" s="316"/>
      <c r="T68" s="136"/>
      <c r="U68" s="253"/>
      <c r="V68" s="136"/>
    </row>
    <row r="69">
      <c r="F69" s="298" t="s">
        <v>132</v>
      </c>
      <c r="H69" s="10" t="s">
        <v>51</v>
      </c>
      <c r="I69" s="136">
        <f t="shared" ref="I69:J69" si="4">I67-I68</f>
        <v>31010</v>
      </c>
      <c r="J69" s="136">
        <f t="shared" si="4"/>
        <v>36285</v>
      </c>
      <c r="P69" s="315"/>
      <c r="Q69" s="316"/>
      <c r="R69" s="316"/>
      <c r="S69" s="316"/>
      <c r="T69" s="316"/>
      <c r="U69" s="253"/>
      <c r="V69" s="136"/>
    </row>
    <row r="70">
      <c r="F70" s="298" t="s">
        <v>26</v>
      </c>
      <c r="P70" s="315"/>
      <c r="Q70" s="316"/>
      <c r="R70" s="316"/>
      <c r="S70" s="316"/>
      <c r="T70" s="316"/>
      <c r="U70" s="253"/>
      <c r="V70" s="136"/>
    </row>
    <row r="71">
      <c r="F71" s="298" t="s">
        <v>151</v>
      </c>
      <c r="P71" s="315"/>
      <c r="Q71" s="316"/>
      <c r="R71" s="316"/>
      <c r="S71" s="316"/>
      <c r="T71" s="316"/>
      <c r="U71" s="253"/>
      <c r="V71" s="136"/>
    </row>
    <row r="72">
      <c r="F72" s="298" t="s">
        <v>152</v>
      </c>
      <c r="P72" s="315"/>
      <c r="Q72" s="316"/>
      <c r="R72" s="316"/>
      <c r="S72" s="316"/>
      <c r="T72" s="316"/>
      <c r="U72" s="253"/>
      <c r="V72" s="136"/>
    </row>
    <row r="73">
      <c r="F73" s="298" t="s">
        <v>153</v>
      </c>
      <c r="P73" s="315"/>
      <c r="Q73" s="316"/>
      <c r="R73" s="316"/>
      <c r="S73" s="316"/>
      <c r="T73" s="316"/>
      <c r="U73" s="253"/>
      <c r="V73" s="136"/>
    </row>
    <row r="74">
      <c r="P74" s="315"/>
      <c r="Q74" s="316"/>
      <c r="R74" s="316"/>
      <c r="S74" s="316"/>
      <c r="T74" s="316"/>
      <c r="U74" s="253"/>
      <c r="V74" s="136"/>
    </row>
    <row r="75">
      <c r="P75" s="315"/>
      <c r="Q75" s="316"/>
      <c r="R75" s="316"/>
      <c r="S75" s="316"/>
      <c r="T75" s="316"/>
      <c r="U75" s="253"/>
      <c r="V75" s="136"/>
    </row>
    <row r="76">
      <c r="P76" s="315"/>
      <c r="Q76" s="316"/>
      <c r="R76" s="316"/>
      <c r="S76" s="316"/>
      <c r="T76" s="316"/>
      <c r="U76" s="253"/>
      <c r="V76" s="136"/>
    </row>
    <row r="77">
      <c r="P77" s="315"/>
      <c r="Q77" s="316"/>
      <c r="R77" s="316"/>
      <c r="S77" s="316"/>
      <c r="T77" s="316"/>
      <c r="U77" s="253"/>
      <c r="V77" s="136"/>
    </row>
    <row r="78">
      <c r="P78" s="315"/>
      <c r="Q78" s="316"/>
      <c r="R78" s="316"/>
      <c r="S78" s="316"/>
      <c r="T78" s="316"/>
      <c r="U78" s="253"/>
      <c r="V78" s="136"/>
    </row>
    <row r="79">
      <c r="P79" s="315"/>
      <c r="Q79" s="316"/>
      <c r="R79" s="316"/>
      <c r="S79" s="316"/>
      <c r="T79" s="316"/>
      <c r="U79" s="253"/>
      <c r="V79" s="136"/>
    </row>
    <row r="80">
      <c r="P80" s="315"/>
      <c r="Q80" s="316"/>
      <c r="R80" s="316"/>
      <c r="S80" s="316"/>
      <c r="T80" s="316"/>
      <c r="U80" s="253"/>
      <c r="V80" s="136"/>
    </row>
    <row r="81">
      <c r="P81" s="315"/>
      <c r="Q81" s="136"/>
      <c r="R81" s="136"/>
      <c r="S81" s="136"/>
      <c r="T81" s="136"/>
      <c r="U81" s="253"/>
      <c r="V81" s="136"/>
    </row>
    <row r="82">
      <c r="P82" s="315"/>
      <c r="Q82" s="136"/>
      <c r="R82" s="136"/>
      <c r="S82" s="136"/>
      <c r="T82" s="136"/>
      <c r="U82" s="253"/>
      <c r="V82" s="136"/>
    </row>
    <row r="83">
      <c r="P83" s="315"/>
      <c r="Q83" s="136"/>
      <c r="R83" s="136"/>
      <c r="S83" s="136"/>
      <c r="T83" s="136"/>
      <c r="U83" s="253"/>
      <c r="V83" s="136"/>
    </row>
    <row r="84">
      <c r="P84" s="252"/>
      <c r="Q84" s="136"/>
      <c r="R84" s="136"/>
      <c r="S84" s="136"/>
      <c r="T84" s="136"/>
      <c r="U84" s="253"/>
      <c r="V84" s="136"/>
    </row>
    <row r="85">
      <c r="P85" s="252"/>
      <c r="Q85" s="136"/>
      <c r="R85" s="136"/>
      <c r="S85" s="136"/>
      <c r="T85" s="136"/>
      <c r="U85" s="253"/>
      <c r="V85" s="136"/>
    </row>
    <row r="86">
      <c r="P86" s="252"/>
      <c r="Q86" s="136"/>
      <c r="R86" s="136"/>
      <c r="S86" s="136"/>
      <c r="T86" s="136"/>
      <c r="U86" s="253"/>
      <c r="V86" s="136"/>
    </row>
    <row r="87">
      <c r="P87" s="252"/>
      <c r="Q87" s="136"/>
      <c r="R87" s="136"/>
      <c r="S87" s="136"/>
      <c r="T87" s="136"/>
      <c r="U87" s="253"/>
      <c r="V87" s="136"/>
    </row>
    <row r="88">
      <c r="P88" s="252"/>
      <c r="Q88" s="136"/>
      <c r="R88" s="136"/>
      <c r="S88" s="136"/>
      <c r="T88" s="136"/>
      <c r="U88" s="253"/>
      <c r="V88" s="136"/>
    </row>
    <row r="89">
      <c r="P89" s="252"/>
      <c r="Q89" s="136"/>
      <c r="R89" s="136"/>
      <c r="S89" s="136"/>
      <c r="T89" s="136"/>
      <c r="U89" s="253"/>
      <c r="V89" s="136"/>
    </row>
    <row r="90">
      <c r="P90" s="252"/>
      <c r="Q90" s="136"/>
      <c r="R90" s="136"/>
      <c r="S90" s="136"/>
      <c r="T90" s="136"/>
      <c r="U90" s="253"/>
      <c r="V90" s="136"/>
    </row>
    <row r="91">
      <c r="P91" s="252"/>
      <c r="Q91" s="136"/>
      <c r="R91" s="136"/>
      <c r="S91" s="136"/>
      <c r="T91" s="136"/>
      <c r="U91" s="253"/>
      <c r="V91" s="136"/>
    </row>
    <row r="92">
      <c r="P92" s="252"/>
      <c r="Q92" s="136"/>
      <c r="R92" s="136"/>
      <c r="S92" s="136"/>
      <c r="T92" s="136"/>
      <c r="U92" s="253"/>
      <c r="V92" s="136"/>
    </row>
    <row r="93">
      <c r="P93" s="252"/>
      <c r="Q93" s="136"/>
      <c r="R93" s="136"/>
      <c r="S93" s="136"/>
      <c r="T93" s="136"/>
      <c r="U93" s="253"/>
      <c r="V93" s="136"/>
    </row>
    <row r="94">
      <c r="P94" s="252"/>
      <c r="Q94" s="136"/>
      <c r="R94" s="136"/>
      <c r="S94" s="136"/>
      <c r="T94" s="136"/>
      <c r="U94" s="253"/>
      <c r="V94" s="136"/>
    </row>
    <row r="95">
      <c r="P95" s="252"/>
      <c r="Q95" s="136"/>
      <c r="R95" s="136"/>
      <c r="S95" s="136"/>
      <c r="T95" s="136"/>
      <c r="U95" s="253"/>
      <c r="V95" s="136"/>
    </row>
    <row r="96">
      <c r="P96" s="252"/>
      <c r="Q96" s="136"/>
      <c r="R96" s="136"/>
      <c r="S96" s="136"/>
      <c r="T96" s="136"/>
      <c r="U96" s="253"/>
      <c r="V96" s="136"/>
    </row>
    <row r="97">
      <c r="P97" s="252"/>
      <c r="Q97" s="136"/>
      <c r="R97" s="136"/>
      <c r="S97" s="136"/>
      <c r="T97" s="136"/>
      <c r="U97" s="253"/>
      <c r="V97" s="136"/>
    </row>
    <row r="98">
      <c r="P98" s="252"/>
      <c r="Q98" s="136"/>
      <c r="R98" s="136"/>
      <c r="S98" s="136"/>
      <c r="T98" s="136"/>
      <c r="U98" s="253"/>
      <c r="V98" s="136"/>
    </row>
    <row r="99">
      <c r="P99" s="252"/>
      <c r="Q99" s="136"/>
      <c r="R99" s="136"/>
      <c r="S99" s="136"/>
      <c r="T99" s="136"/>
      <c r="U99" s="253"/>
      <c r="V99" s="136"/>
    </row>
    <row r="100">
      <c r="P100" s="252"/>
      <c r="Q100" s="136"/>
      <c r="R100" s="136"/>
      <c r="S100" s="136"/>
      <c r="T100" s="136"/>
      <c r="U100" s="25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76">
    <mergeCell ref="F53:H53"/>
    <mergeCell ref="F54:H54"/>
    <mergeCell ref="F50:H50"/>
    <mergeCell ref="J50:K50"/>
    <mergeCell ref="F51:H51"/>
    <mergeCell ref="J51:K51"/>
    <mergeCell ref="F52:H52"/>
    <mergeCell ref="J52:K52"/>
    <mergeCell ref="J53:K53"/>
    <mergeCell ref="J54:K54"/>
    <mergeCell ref="F56:H56"/>
    <mergeCell ref="F57:H57"/>
    <mergeCell ref="B51:D54"/>
    <mergeCell ref="E51:E54"/>
    <mergeCell ref="E55:E57"/>
    <mergeCell ref="F55:H55"/>
    <mergeCell ref="J55:K55"/>
    <mergeCell ref="J56:K56"/>
    <mergeCell ref="J57:K57"/>
    <mergeCell ref="B55:D57"/>
    <mergeCell ref="B58:D59"/>
    <mergeCell ref="E58:E59"/>
    <mergeCell ref="F58:H58"/>
    <mergeCell ref="J58:K58"/>
    <mergeCell ref="F59:H59"/>
    <mergeCell ref="J59:K59"/>
    <mergeCell ref="E60:E62"/>
    <mergeCell ref="F60:H60"/>
    <mergeCell ref="J60:K60"/>
    <mergeCell ref="F61:H61"/>
    <mergeCell ref="J61:K61"/>
    <mergeCell ref="F62:H62"/>
    <mergeCell ref="J62:K62"/>
    <mergeCell ref="B60:D62"/>
    <mergeCell ref="B63:D64"/>
    <mergeCell ref="E63:E64"/>
    <mergeCell ref="F63:H63"/>
    <mergeCell ref="J63:K63"/>
    <mergeCell ref="J64:K64"/>
    <mergeCell ref="B65:D65"/>
    <mergeCell ref="J65:K65"/>
    <mergeCell ref="F64:H64"/>
    <mergeCell ref="F65:H65"/>
    <mergeCell ref="F66:H66"/>
    <mergeCell ref="J66:K66"/>
    <mergeCell ref="J67:K67"/>
    <mergeCell ref="J68:K68"/>
    <mergeCell ref="J69:K69"/>
    <mergeCell ref="B2:F2"/>
    <mergeCell ref="H2:H3"/>
    <mergeCell ref="I2:I3"/>
    <mergeCell ref="L2:M2"/>
    <mergeCell ref="L15:M15"/>
    <mergeCell ref="L24:M24"/>
    <mergeCell ref="L33:M33"/>
    <mergeCell ref="F45:H45"/>
    <mergeCell ref="F46:H46"/>
    <mergeCell ref="F44:H44"/>
    <mergeCell ref="F47:H47"/>
    <mergeCell ref="J47:K47"/>
    <mergeCell ref="F48:H48"/>
    <mergeCell ref="J48:K48"/>
    <mergeCell ref="F49:H49"/>
    <mergeCell ref="J49:K49"/>
    <mergeCell ref="B42:K43"/>
    <mergeCell ref="B44:D44"/>
    <mergeCell ref="J44:K44"/>
    <mergeCell ref="B45:D50"/>
    <mergeCell ref="E45:E50"/>
    <mergeCell ref="J45:K45"/>
    <mergeCell ref="J46:K46"/>
    <mergeCell ref="J70:K70"/>
    <mergeCell ref="J71:K71"/>
    <mergeCell ref="J72:K72"/>
    <mergeCell ref="J73:K73"/>
    <mergeCell ref="J74:K74"/>
  </mergeCells>
  <conditionalFormatting sqref="J45:K65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41856</v>
      </c>
      <c r="L2" s="84" t="s">
        <v>34</v>
      </c>
      <c r="M2" s="86"/>
      <c r="N2" s="85">
        <f>M4+M5+M8+M9</f>
        <v>21276</v>
      </c>
      <c r="P2" s="309" t="s">
        <v>6</v>
      </c>
      <c r="Q2" s="310" t="s">
        <v>107</v>
      </c>
      <c r="R2" s="310" t="s">
        <v>108</v>
      </c>
      <c r="S2" s="310" t="s">
        <v>156</v>
      </c>
      <c r="T2" s="310" t="s">
        <v>35</v>
      </c>
      <c r="U2" s="311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315">
        <v>45864.0</v>
      </c>
      <c r="Q3" s="316" t="s">
        <v>119</v>
      </c>
      <c r="R3" s="316" t="s">
        <v>141</v>
      </c>
      <c r="S3" s="316" t="s">
        <v>51</v>
      </c>
      <c r="T3" s="316">
        <v>2000.0</v>
      </c>
      <c r="U3" s="330"/>
      <c r="V3" s="136"/>
    </row>
    <row r="4">
      <c r="B4" s="317">
        <v>45865.0</v>
      </c>
      <c r="C4" s="108"/>
      <c r="D4" s="150">
        <v>39500.0</v>
      </c>
      <c r="E4" s="108" t="s">
        <v>143</v>
      </c>
      <c r="F4" s="174" t="s">
        <v>120</v>
      </c>
      <c r="H4" s="318" t="str">
        <f t="shared" ref="H4:H35" si="1">TEXT(I4, "dddd")
</f>
        <v>Saturday</v>
      </c>
      <c r="I4" s="319">
        <v>45864.0</v>
      </c>
      <c r="J4" s="170">
        <f t="array" ref="J4">sum(IF(($P$3:$P$100=I4), $T$3:$T$100, 0))</f>
        <v>2100</v>
      </c>
      <c r="L4" s="320" t="str">
        <f t="array" ref="L4:L12">INDIRECT("Account")</f>
        <v>Cash</v>
      </c>
      <c r="M4" s="321">
        <f t="array" ref="M4">N4 - sum(IF(($E$4:$E$49=L4), $D$4:$D$39 + $C$4:$C$39, 0)) + sum(IF(($F$4:$F$49=L4), $D$4:$D$39, 0)) - sum(IF(($S$3:$S$100=L4), $T$3:$T$100, 0))</f>
        <v>4145</v>
      </c>
      <c r="N4" s="322">
        <f>'July 25'!M4</f>
        <v>3725</v>
      </c>
      <c r="P4" s="315">
        <v>45864.0</v>
      </c>
      <c r="Q4" s="316" t="s">
        <v>26</v>
      </c>
      <c r="R4" s="316" t="s">
        <v>26</v>
      </c>
      <c r="S4" s="316" t="s">
        <v>51</v>
      </c>
      <c r="T4" s="316">
        <v>20.0</v>
      </c>
      <c r="U4" s="253"/>
      <c r="V4" s="136"/>
    </row>
    <row r="5">
      <c r="B5" s="317">
        <v>45866.0</v>
      </c>
      <c r="C5" s="108"/>
      <c r="D5" s="142">
        <v>1000.0</v>
      </c>
      <c r="E5" s="108" t="s">
        <v>120</v>
      </c>
      <c r="F5" s="174" t="s">
        <v>12</v>
      </c>
      <c r="H5" s="318" t="str">
        <f t="shared" si="1"/>
        <v>Sunday</v>
      </c>
      <c r="I5" s="319">
        <v>45865.0</v>
      </c>
      <c r="J5" s="170">
        <f t="array" ref="J5">sum(IF(($P$3:$P$100=I5), $T$3:$T$100, 0))</f>
        <v>700</v>
      </c>
      <c r="L5" s="324" t="s">
        <v>120</v>
      </c>
      <c r="M5" s="325">
        <f t="array" ref="M5">N5 - sum(IF(($E$4:$E$49=L5), $D$4:$D$39 + $C$4:$C$39, 0)) + sum(IF(($F$4:$F$49=L5), $D$4:$D$39, 0)) - sum(IF(($S$3:$S$100=L5), $T$3:$T$100, 0))</f>
        <v>16704</v>
      </c>
      <c r="N5" s="326">
        <f>'July 25'!M5</f>
        <v>57034</v>
      </c>
      <c r="P5" s="315">
        <v>45864.0</v>
      </c>
      <c r="Q5" s="316" t="s">
        <v>131</v>
      </c>
      <c r="R5" s="316" t="s">
        <v>148</v>
      </c>
      <c r="S5" s="316" t="s">
        <v>51</v>
      </c>
      <c r="T5" s="316">
        <v>60.0</v>
      </c>
      <c r="U5" s="330" t="s">
        <v>191</v>
      </c>
      <c r="V5" s="136"/>
    </row>
    <row r="6">
      <c r="B6" s="317">
        <v>45866.0</v>
      </c>
      <c r="C6" s="108">
        <v>15.0</v>
      </c>
      <c r="D6" s="142">
        <v>10000.0</v>
      </c>
      <c r="E6" s="108" t="s">
        <v>124</v>
      </c>
      <c r="F6" s="174" t="s">
        <v>51</v>
      </c>
      <c r="H6" s="318" t="str">
        <f t="shared" si="1"/>
        <v>Monday</v>
      </c>
      <c r="I6" s="319">
        <v>45866.0</v>
      </c>
      <c r="J6" s="170">
        <f t="array" ref="J6">sum(IF(($P$3:$P$100=I6), $T$3:$T$100, 0))</f>
        <v>1630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30176</v>
      </c>
      <c r="N6" s="326">
        <f>'July 25'!M6</f>
        <v>30191</v>
      </c>
      <c r="P6" s="315">
        <v>45865.0</v>
      </c>
      <c r="Q6" s="316" t="s">
        <v>26</v>
      </c>
      <c r="R6" s="316" t="s">
        <v>26</v>
      </c>
      <c r="S6" s="316" t="s">
        <v>51</v>
      </c>
      <c r="T6" s="316">
        <v>700.0</v>
      </c>
      <c r="U6" s="330" t="s">
        <v>192</v>
      </c>
      <c r="V6" s="136"/>
    </row>
    <row r="7">
      <c r="B7" s="317">
        <v>45866.0</v>
      </c>
      <c r="C7" s="142"/>
      <c r="D7" s="142">
        <v>2000.0</v>
      </c>
      <c r="E7" s="108" t="s">
        <v>51</v>
      </c>
      <c r="F7" s="174" t="s">
        <v>136</v>
      </c>
      <c r="H7" s="318" t="str">
        <f t="shared" si="1"/>
        <v>Tuesday</v>
      </c>
      <c r="I7" s="319">
        <v>45867.0</v>
      </c>
      <c r="J7" s="170">
        <f t="array" ref="J7">sum(IF(($P$3:$P$100=I7), $T$3:$T$100, 0))</f>
        <v>5000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'July 25'!M7</f>
        <v>285</v>
      </c>
      <c r="P7" s="315">
        <v>45866.0</v>
      </c>
      <c r="Q7" s="316" t="s">
        <v>114</v>
      </c>
      <c r="R7" s="316" t="s">
        <v>118</v>
      </c>
      <c r="S7" s="316" t="s">
        <v>12</v>
      </c>
      <c r="T7" s="316">
        <v>800.0</v>
      </c>
      <c r="U7" s="330"/>
      <c r="V7" s="136"/>
    </row>
    <row r="8">
      <c r="B8" s="317">
        <v>45866.0</v>
      </c>
      <c r="C8" s="108"/>
      <c r="D8" s="142">
        <v>10000.0</v>
      </c>
      <c r="E8" s="108" t="s">
        <v>120</v>
      </c>
      <c r="F8" s="174" t="s">
        <v>124</v>
      </c>
      <c r="H8" s="318" t="str">
        <f t="shared" si="1"/>
        <v>Wednesday</v>
      </c>
      <c r="I8" s="319">
        <v>45868.0</v>
      </c>
      <c r="J8" s="170">
        <f t="array" ref="J8">sum(IF(($P$3:$P$100=I8), $T$3:$T$100, 0))</f>
        <v>1476</v>
      </c>
      <c r="L8" s="331" t="s">
        <v>12</v>
      </c>
      <c r="M8" s="325">
        <f t="array" ref="M8">N8 - sum(IF(($E$4:$E$49=L8), $D$4:$D$39 + $C$4:$C$39, 0)) + sum(IF(($F$4:$F$49=L8), $D$4:$D$39, 0)) - sum(IF(($S$3:$S$100=L8), $T$3:$T$100, 0))</f>
        <v>425</v>
      </c>
      <c r="N8" s="326">
        <f>'July 25'!M8</f>
        <v>77</v>
      </c>
      <c r="P8" s="315">
        <v>45866.0</v>
      </c>
      <c r="Q8" s="316" t="s">
        <v>127</v>
      </c>
      <c r="R8" s="316" t="s">
        <v>147</v>
      </c>
      <c r="S8" s="316" t="s">
        <v>12</v>
      </c>
      <c r="T8" s="316">
        <v>50.0</v>
      </c>
      <c r="U8" s="330"/>
      <c r="V8" s="136"/>
    </row>
    <row r="9">
      <c r="B9" s="317">
        <v>45868.0</v>
      </c>
      <c r="C9" s="108"/>
      <c r="D9" s="108">
        <v>1000.0</v>
      </c>
      <c r="E9" s="108" t="s">
        <v>120</v>
      </c>
      <c r="F9" s="174" t="s">
        <v>12</v>
      </c>
      <c r="H9" s="318" t="str">
        <f t="shared" si="1"/>
        <v>Thursday</v>
      </c>
      <c r="I9" s="319">
        <v>45869.0</v>
      </c>
      <c r="J9" s="170">
        <f t="array" ref="J9">sum(IF(($P$3:$P$100=I9), $T$3:$T$100, 0))</f>
        <v>0</v>
      </c>
      <c r="L9" s="331" t="s">
        <v>65</v>
      </c>
      <c r="M9" s="325">
        <f t="array" ref="M9">N9 - sum(IF(($E$4:$E$49=L9), $D$4:$D$39 + $C$4:$C$39, 0)) + sum(IF(($F$4:$F$49=L9), $D$4:$D$39, 0)) - sum(IF(($S$3:$S$100=L9), $T$3:$T$100, 0))</f>
        <v>2</v>
      </c>
      <c r="N9" s="326">
        <f>'July 25'!M9</f>
        <v>2</v>
      </c>
      <c r="P9" s="315">
        <v>45866.0</v>
      </c>
      <c r="Q9" s="316" t="s">
        <v>119</v>
      </c>
      <c r="R9" s="316" t="s">
        <v>138</v>
      </c>
      <c r="S9" s="316" t="s">
        <v>51</v>
      </c>
      <c r="T9" s="316">
        <v>150.0</v>
      </c>
      <c r="U9" s="330" t="s">
        <v>193</v>
      </c>
      <c r="V9" s="136"/>
    </row>
    <row r="10">
      <c r="B10" s="317">
        <v>45870.0</v>
      </c>
      <c r="C10" s="142"/>
      <c r="D10" s="142">
        <v>2500.0</v>
      </c>
      <c r="E10" s="108" t="s">
        <v>120</v>
      </c>
      <c r="F10" s="174" t="s">
        <v>128</v>
      </c>
      <c r="H10" s="318" t="str">
        <f t="shared" si="1"/>
        <v>Friday</v>
      </c>
      <c r="I10" s="319">
        <v>45870.0</v>
      </c>
      <c r="J10" s="170">
        <f t="array" ref="J10">sum(IF(($P$3:$P$100=I10), $T$3:$T$100, 0))</f>
        <v>4375</v>
      </c>
      <c r="L10" s="333" t="s">
        <v>137</v>
      </c>
      <c r="M10" s="374">
        <f>N10-10000</f>
        <v>130000</v>
      </c>
      <c r="N10" s="326">
        <f>'July 25'!M10</f>
        <v>140000</v>
      </c>
      <c r="P10" s="315">
        <v>45866.0</v>
      </c>
      <c r="Q10" s="316" t="s">
        <v>131</v>
      </c>
      <c r="R10" s="316" t="s">
        <v>131</v>
      </c>
      <c r="S10" s="316" t="s">
        <v>12</v>
      </c>
      <c r="T10" s="316">
        <v>30.0</v>
      </c>
      <c r="U10" s="330"/>
      <c r="V10" s="136"/>
    </row>
    <row r="11">
      <c r="B11" s="317">
        <v>45873.0</v>
      </c>
      <c r="C11" s="108"/>
      <c r="D11" s="142">
        <v>25000.0</v>
      </c>
      <c r="E11" s="108" t="s">
        <v>120</v>
      </c>
      <c r="F11" s="174" t="s">
        <v>136</v>
      </c>
      <c r="H11" s="318" t="str">
        <f t="shared" si="1"/>
        <v>Saturday</v>
      </c>
      <c r="I11" s="319">
        <v>45871.0</v>
      </c>
      <c r="J11" s="170">
        <f t="array" ref="J11">sum(IF(($P$3:$P$100=I11), $T$3:$T$100, 0))</f>
        <v>80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>'July 25'!M11</f>
        <v>5500</v>
      </c>
      <c r="P11" s="315">
        <v>45867.0</v>
      </c>
      <c r="Q11" s="316" t="s">
        <v>119</v>
      </c>
      <c r="R11" s="316" t="s">
        <v>141</v>
      </c>
      <c r="S11" s="316" t="s">
        <v>51</v>
      </c>
      <c r="T11" s="316">
        <v>5000.0</v>
      </c>
      <c r="U11" s="330"/>
      <c r="V11" s="136"/>
    </row>
    <row r="12">
      <c r="B12" s="317">
        <v>45874.0</v>
      </c>
      <c r="C12" s="108">
        <v>0.0</v>
      </c>
      <c r="D12" s="142">
        <v>20000.0</v>
      </c>
      <c r="E12" s="108" t="s">
        <v>136</v>
      </c>
      <c r="F12" s="174" t="s">
        <v>51</v>
      </c>
      <c r="H12" s="318" t="str">
        <f t="shared" si="1"/>
        <v>Sunday</v>
      </c>
      <c r="I12" s="319">
        <v>45872.0</v>
      </c>
      <c r="J12" s="170">
        <f t="array" ref="J12">sum(IF(($P$3:$P$100=I12), $T$3:$T$100, 0))</f>
        <v>0</v>
      </c>
      <c r="L12" s="383" t="s">
        <v>136</v>
      </c>
      <c r="M12" s="384">
        <f t="array" ref="M12">N12 - sum(IF(($E$4:$E$49=L12), $D$4:$D$39 + $C$4:$C$39, 0)) + sum(IF(($F$4:$F$49=L12), $D$4:$D$39, 0)) - sum(IF(($S$3:$S$100=L12), $T$3:$T$100, 0))</f>
        <v>1332</v>
      </c>
      <c r="N12" s="385">
        <v>0.0</v>
      </c>
      <c r="P12" s="315">
        <v>45866.0</v>
      </c>
      <c r="Q12" s="316" t="s">
        <v>119</v>
      </c>
      <c r="R12" s="316" t="s">
        <v>135</v>
      </c>
      <c r="S12" s="316" t="s">
        <v>51</v>
      </c>
      <c r="T12" s="316">
        <v>600.0</v>
      </c>
      <c r="U12" s="330" t="s">
        <v>194</v>
      </c>
      <c r="V12" s="136"/>
    </row>
    <row r="13">
      <c r="B13" s="317"/>
      <c r="C13" s="108"/>
      <c r="D13" s="142">
        <v>34330.0</v>
      </c>
      <c r="E13" s="108" t="s">
        <v>120</v>
      </c>
      <c r="F13" s="174" t="s">
        <v>139</v>
      </c>
      <c r="H13" s="318" t="str">
        <f t="shared" si="1"/>
        <v>Monday</v>
      </c>
      <c r="I13" s="319">
        <v>45873.0</v>
      </c>
      <c r="J13" s="170">
        <f t="array" ref="J13">sum(IF(($P$3:$P$100=I13), $T$3:$T$100, 0))</f>
        <v>20</v>
      </c>
      <c r="L13" s="338"/>
      <c r="M13" s="339"/>
      <c r="N13" s="340"/>
      <c r="P13" s="315">
        <v>45868.0</v>
      </c>
      <c r="Q13" s="316" t="s">
        <v>131</v>
      </c>
      <c r="R13" s="316" t="s">
        <v>131</v>
      </c>
      <c r="S13" s="316" t="s">
        <v>51</v>
      </c>
      <c r="T13" s="316">
        <f>10+20</f>
        <v>30</v>
      </c>
      <c r="U13" s="330"/>
      <c r="V13" s="136"/>
    </row>
    <row r="14">
      <c r="B14" s="317">
        <v>45886.0</v>
      </c>
      <c r="C14" s="108"/>
      <c r="D14" s="142">
        <v>1000.0</v>
      </c>
      <c r="E14" s="108" t="s">
        <v>120</v>
      </c>
      <c r="F14" s="174" t="s">
        <v>12</v>
      </c>
      <c r="H14" s="318" t="str">
        <f t="shared" si="1"/>
        <v>Tuesday</v>
      </c>
      <c r="I14" s="319">
        <v>45874.0</v>
      </c>
      <c r="J14" s="170">
        <f t="array" ref="J14">sum(IF(($P$3:$P$100=I14), $T$3:$T$100, 0))</f>
        <v>16110</v>
      </c>
      <c r="P14" s="315">
        <v>45868.0</v>
      </c>
      <c r="Q14" s="316" t="s">
        <v>123</v>
      </c>
      <c r="R14" s="316" t="s">
        <v>144</v>
      </c>
      <c r="S14" s="316" t="s">
        <v>51</v>
      </c>
      <c r="T14" s="316">
        <v>30.0</v>
      </c>
      <c r="U14" s="253"/>
      <c r="V14" s="136"/>
    </row>
    <row r="15">
      <c r="B15" s="317">
        <v>45890.0</v>
      </c>
      <c r="C15" s="108">
        <v>0.0</v>
      </c>
      <c r="D15" s="108">
        <v>2000.0</v>
      </c>
      <c r="E15" s="108" t="s">
        <v>136</v>
      </c>
      <c r="F15" s="174" t="s">
        <v>51</v>
      </c>
      <c r="H15" s="318" t="str">
        <f t="shared" si="1"/>
        <v>Wednesday</v>
      </c>
      <c r="I15" s="319">
        <v>45875.0</v>
      </c>
      <c r="J15" s="170">
        <f t="array" ref="J15">sum(IF(($P$3:$P$100=I15), $T$3:$T$100, 0))</f>
        <v>320</v>
      </c>
      <c r="L15" s="137" t="s">
        <v>72</v>
      </c>
      <c r="M15" s="86"/>
      <c r="N15" s="138">
        <f>sum(N17:N22)</f>
        <v>0</v>
      </c>
      <c r="P15" s="315">
        <v>45870.0</v>
      </c>
      <c r="Q15" s="316" t="s">
        <v>134</v>
      </c>
      <c r="R15" s="316" t="s">
        <v>116</v>
      </c>
      <c r="S15" s="316" t="s">
        <v>128</v>
      </c>
      <c r="T15" s="316">
        <v>2500.0</v>
      </c>
      <c r="U15" s="330"/>
      <c r="V15" s="136"/>
    </row>
    <row r="16">
      <c r="B16" s="317">
        <v>45893.0</v>
      </c>
      <c r="C16" s="142"/>
      <c r="D16" s="142">
        <v>5000.0</v>
      </c>
      <c r="E16" s="108" t="s">
        <v>120</v>
      </c>
      <c r="F16" s="174" t="s">
        <v>136</v>
      </c>
      <c r="H16" s="318" t="str">
        <f t="shared" si="1"/>
        <v>Thursday</v>
      </c>
      <c r="I16" s="319">
        <v>45876.0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315">
        <v>45868.0</v>
      </c>
      <c r="Q16" s="316" t="s">
        <v>139</v>
      </c>
      <c r="R16" s="316" t="s">
        <v>152</v>
      </c>
      <c r="S16" s="316" t="s">
        <v>136</v>
      </c>
      <c r="T16" s="316">
        <f>173+690+345</f>
        <v>1208</v>
      </c>
      <c r="U16" s="330"/>
      <c r="V16" s="136"/>
    </row>
    <row r="17">
      <c r="B17" s="317">
        <v>45893.0</v>
      </c>
      <c r="C17" s="108">
        <v>0.0</v>
      </c>
      <c r="D17" s="108">
        <v>5000.0</v>
      </c>
      <c r="E17" s="108" t="s">
        <v>136</v>
      </c>
      <c r="F17" s="174" t="s">
        <v>51</v>
      </c>
      <c r="H17" s="318" t="str">
        <f t="shared" si="1"/>
        <v>Friday</v>
      </c>
      <c r="I17" s="319">
        <v>45877.0</v>
      </c>
      <c r="J17" s="170">
        <f t="array" ref="J17">sum(IF(($P$3:$P$100=I17), $T$3:$T$100, 0))</f>
        <v>830</v>
      </c>
      <c r="L17" s="143">
        <v>45774.0</v>
      </c>
      <c r="M17" s="132">
        <v>2500.0</v>
      </c>
      <c r="N17" s="103" t="s">
        <v>185</v>
      </c>
      <c r="P17" s="315">
        <v>45870.0</v>
      </c>
      <c r="Q17" s="316" t="s">
        <v>119</v>
      </c>
      <c r="R17" s="316" t="s">
        <v>135</v>
      </c>
      <c r="S17" s="316" t="s">
        <v>51</v>
      </c>
      <c r="T17" s="316">
        <f>1100+600+50</f>
        <v>1750</v>
      </c>
      <c r="U17" s="330" t="s">
        <v>195</v>
      </c>
      <c r="V17" s="136"/>
    </row>
    <row r="18">
      <c r="B18" s="317"/>
      <c r="C18" s="108"/>
      <c r="D18" s="108"/>
      <c r="E18" s="108"/>
      <c r="F18" s="174"/>
      <c r="H18" s="318" t="str">
        <f t="shared" si="1"/>
        <v>Saturday</v>
      </c>
      <c r="I18" s="319">
        <v>45878.0</v>
      </c>
      <c r="J18" s="170">
        <f t="array" ref="J18">sum(IF(($P$3:$P$100=I18), $T$3:$T$100, 0))</f>
        <v>3410</v>
      </c>
      <c r="L18" s="143"/>
      <c r="M18" s="132">
        <v>3000.0</v>
      </c>
      <c r="N18" s="103" t="s">
        <v>187</v>
      </c>
      <c r="P18" s="315">
        <v>45870.0</v>
      </c>
      <c r="Q18" s="316" t="s">
        <v>119</v>
      </c>
      <c r="R18" s="316" t="s">
        <v>142</v>
      </c>
      <c r="S18" s="316" t="s">
        <v>51</v>
      </c>
      <c r="T18" s="316">
        <v>60.0</v>
      </c>
      <c r="U18" s="330"/>
      <c r="V18" s="136"/>
    </row>
    <row r="19">
      <c r="B19" s="317"/>
      <c r="C19" s="112"/>
      <c r="D19" s="108"/>
      <c r="E19" s="108"/>
      <c r="F19" s="174"/>
      <c r="H19" s="318" t="str">
        <f t="shared" si="1"/>
        <v>Sunday</v>
      </c>
      <c r="I19" s="319">
        <v>45879.0</v>
      </c>
      <c r="J19" s="170">
        <f t="array" ref="J19">sum(IF(($P$3:$P$100=I19), $T$3:$T$100, 0))</f>
        <v>1035</v>
      </c>
      <c r="L19" s="148"/>
      <c r="M19" s="132">
        <v>150.0</v>
      </c>
      <c r="N19" s="103" t="s">
        <v>188</v>
      </c>
      <c r="P19" s="315">
        <v>45870.0</v>
      </c>
      <c r="Q19" s="316" t="s">
        <v>26</v>
      </c>
      <c r="R19" s="316" t="s">
        <v>26</v>
      </c>
      <c r="S19" s="316" t="s">
        <v>51</v>
      </c>
      <c r="T19" s="316">
        <v>45.0</v>
      </c>
      <c r="U19" s="330"/>
      <c r="V19" s="136"/>
    </row>
    <row r="20">
      <c r="B20" s="317"/>
      <c r="C20" s="142"/>
      <c r="D20" s="142"/>
      <c r="E20" s="108"/>
      <c r="F20" s="174"/>
      <c r="H20" s="318" t="str">
        <f t="shared" si="1"/>
        <v>Monday</v>
      </c>
      <c r="I20" s="319">
        <v>45880.0</v>
      </c>
      <c r="J20" s="170">
        <f t="array" ref="J20">sum(IF(($P$3:$P$100=I20), $T$3:$T$100, 0))</f>
        <v>15</v>
      </c>
      <c r="L20" s="148"/>
      <c r="M20" s="132"/>
      <c r="N20" s="185"/>
      <c r="P20" s="315">
        <v>45870.0</v>
      </c>
      <c r="Q20" s="316" t="s">
        <v>131</v>
      </c>
      <c r="R20" s="316" t="s">
        <v>23</v>
      </c>
      <c r="S20" s="316" t="s">
        <v>51</v>
      </c>
      <c r="T20" s="316">
        <v>20.0</v>
      </c>
      <c r="U20" s="330"/>
      <c r="V20" s="136"/>
    </row>
    <row r="21">
      <c r="B21" s="317"/>
      <c r="C21" s="108"/>
      <c r="D21" s="108"/>
      <c r="E21" s="108"/>
      <c r="F21" s="174"/>
      <c r="H21" s="318" t="str">
        <f t="shared" si="1"/>
        <v>Tuesday</v>
      </c>
      <c r="I21" s="319">
        <v>45881.0</v>
      </c>
      <c r="J21" s="170">
        <f t="array" ref="J21">sum(IF(($P$3:$P$100=I21), $T$3:$T$100, 0))</f>
        <v>230</v>
      </c>
      <c r="L21" s="112"/>
      <c r="M21" s="102"/>
      <c r="N21" s="48"/>
      <c r="P21" s="315">
        <v>45871.0</v>
      </c>
      <c r="Q21" s="316" t="s">
        <v>119</v>
      </c>
      <c r="R21" s="316" t="s">
        <v>142</v>
      </c>
      <c r="S21" s="316" t="s">
        <v>51</v>
      </c>
      <c r="T21" s="316">
        <v>80.0</v>
      </c>
      <c r="U21" s="330"/>
      <c r="V21" s="136"/>
    </row>
    <row r="22">
      <c r="B22" s="317"/>
      <c r="C22" s="112"/>
      <c r="D22" s="108"/>
      <c r="E22" s="108"/>
      <c r="F22" s="174"/>
      <c r="H22" s="318" t="str">
        <f t="shared" si="1"/>
        <v>Wednesday</v>
      </c>
      <c r="I22" s="319">
        <v>45882.0</v>
      </c>
      <c r="J22" s="170">
        <f t="array" ref="J22">sum(IF(($P$3:$P$100=I22), $T$3:$T$100, 0))</f>
        <v>115</v>
      </c>
      <c r="L22" s="127"/>
      <c r="M22" s="133"/>
      <c r="N22" s="68"/>
      <c r="P22" s="315">
        <v>45873.0</v>
      </c>
      <c r="Q22" s="316" t="s">
        <v>119</v>
      </c>
      <c r="R22" s="316" t="s">
        <v>142</v>
      </c>
      <c r="S22" s="316" t="s">
        <v>51</v>
      </c>
      <c r="T22" s="316">
        <v>20.0</v>
      </c>
      <c r="U22" s="330"/>
      <c r="V22" s="136"/>
    </row>
    <row r="23">
      <c r="B23" s="317"/>
      <c r="C23" s="108"/>
      <c r="D23" s="108"/>
      <c r="E23" s="108"/>
      <c r="F23" s="174"/>
      <c r="H23" s="318" t="str">
        <f t="shared" si="1"/>
        <v>Thursday</v>
      </c>
      <c r="I23" s="319">
        <v>45883.0</v>
      </c>
      <c r="J23" s="170">
        <f t="array" ref="J23">sum(IF(($P$3:$P$100=I23), $T$3:$T$100, 0))</f>
        <v>10</v>
      </c>
      <c r="P23" s="315">
        <v>45874.0</v>
      </c>
      <c r="Q23" s="316" t="s">
        <v>119</v>
      </c>
      <c r="R23" s="316" t="s">
        <v>141</v>
      </c>
      <c r="S23" s="316" t="s">
        <v>51</v>
      </c>
      <c r="T23" s="316">
        <v>1000.0</v>
      </c>
      <c r="U23" s="330"/>
      <c r="V23" s="136"/>
    </row>
    <row r="24">
      <c r="B24" s="317"/>
      <c r="C24" s="108"/>
      <c r="D24" s="108"/>
      <c r="E24" s="108"/>
      <c r="F24" s="174"/>
      <c r="H24" s="318" t="str">
        <f t="shared" si="1"/>
        <v>Friday</v>
      </c>
      <c r="I24" s="319">
        <v>45884.0</v>
      </c>
      <c r="J24" s="170">
        <f t="array" ref="J24">sum(IF(($P$3:$P$100=I24), $T$3:$T$100, 0))</f>
        <v>40</v>
      </c>
      <c r="L24" s="137" t="s">
        <v>84</v>
      </c>
      <c r="M24" s="86"/>
      <c r="N24" s="138">
        <f>sum(N26:N31)</f>
        <v>0</v>
      </c>
      <c r="P24" s="315">
        <v>45874.0</v>
      </c>
      <c r="Q24" s="316" t="s">
        <v>119</v>
      </c>
      <c r="R24" s="316" t="s">
        <v>142</v>
      </c>
      <c r="S24" s="316" t="s">
        <v>51</v>
      </c>
      <c r="T24" s="316">
        <f>10+20</f>
        <v>30</v>
      </c>
      <c r="U24" s="253"/>
      <c r="V24" s="136"/>
    </row>
    <row r="25">
      <c r="B25" s="317"/>
      <c r="C25" s="112"/>
      <c r="D25" s="112"/>
      <c r="E25" s="108"/>
      <c r="F25" s="174"/>
      <c r="H25" s="318" t="str">
        <f t="shared" si="1"/>
        <v>Saturday</v>
      </c>
      <c r="I25" s="319">
        <v>45885.0</v>
      </c>
      <c r="J25" s="170">
        <f t="array" ref="J25">sum(IF(($P$3:$P$100=I25), $T$3:$T$100, 0))</f>
        <v>300</v>
      </c>
      <c r="L25" s="139" t="s">
        <v>6</v>
      </c>
      <c r="M25" s="140" t="s">
        <v>85</v>
      </c>
      <c r="N25" s="141" t="s">
        <v>35</v>
      </c>
      <c r="P25" s="315">
        <v>45874.0</v>
      </c>
      <c r="Q25" s="316" t="s">
        <v>119</v>
      </c>
      <c r="R25" s="316" t="s">
        <v>135</v>
      </c>
      <c r="S25" s="316" t="s">
        <v>51</v>
      </c>
      <c r="T25" s="316">
        <v>200.0</v>
      </c>
      <c r="U25" s="330" t="s">
        <v>196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Sunday</v>
      </c>
      <c r="I26" s="319">
        <v>45886.0</v>
      </c>
      <c r="J26" s="170">
        <f t="array" ref="J26">sum(IF(($P$3:$P$100=I26), $T$3:$T$100, 0))</f>
        <v>60</v>
      </c>
      <c r="L26" s="152"/>
      <c r="M26" s="47"/>
      <c r="N26" s="48"/>
      <c r="P26" s="315">
        <v>45874.0</v>
      </c>
      <c r="Q26" s="316" t="s">
        <v>114</v>
      </c>
      <c r="R26" s="316" t="s">
        <v>115</v>
      </c>
      <c r="S26" s="316" t="s">
        <v>51</v>
      </c>
      <c r="T26" s="316">
        <v>13000.0</v>
      </c>
      <c r="U26" s="330"/>
      <c r="V26" s="136"/>
    </row>
    <row r="27">
      <c r="B27" s="317"/>
      <c r="C27" s="112"/>
      <c r="D27" s="112"/>
      <c r="E27" s="108"/>
      <c r="F27" s="174"/>
      <c r="H27" s="318" t="str">
        <f t="shared" si="1"/>
        <v>Monday</v>
      </c>
      <c r="I27" s="319">
        <v>45887.0</v>
      </c>
      <c r="J27" s="170">
        <f t="array" ref="J27">sum(IF(($P$3:$P$100=I27), $T$3:$T$100, 0))</f>
        <v>160</v>
      </c>
      <c r="L27" s="152"/>
      <c r="M27" s="47"/>
      <c r="N27" s="48"/>
      <c r="P27" s="315">
        <v>45874.0</v>
      </c>
      <c r="Q27" s="316" t="s">
        <v>114</v>
      </c>
      <c r="R27" s="316" t="s">
        <v>126</v>
      </c>
      <c r="S27" s="316" t="s">
        <v>51</v>
      </c>
      <c r="T27" s="316">
        <v>1080.0</v>
      </c>
      <c r="U27" s="330"/>
      <c r="V27" s="136"/>
    </row>
    <row r="28">
      <c r="B28" s="317"/>
      <c r="C28" s="112"/>
      <c r="D28" s="112"/>
      <c r="E28" s="108"/>
      <c r="F28" s="174"/>
      <c r="H28" s="318" t="str">
        <f t="shared" si="1"/>
        <v>Tuesday</v>
      </c>
      <c r="I28" s="319">
        <v>45888.0</v>
      </c>
      <c r="J28" s="170">
        <f t="array" ref="J28">sum(IF(($P$3:$P$100=I28), $T$3:$T$100, 0))</f>
        <v>65</v>
      </c>
      <c r="L28" s="152"/>
      <c r="M28" s="47"/>
      <c r="N28" s="48"/>
      <c r="P28" s="315">
        <v>45874.0</v>
      </c>
      <c r="Q28" s="316" t="s">
        <v>114</v>
      </c>
      <c r="R28" s="316" t="s">
        <v>133</v>
      </c>
      <c r="S28" s="316" t="s">
        <v>51</v>
      </c>
      <c r="T28" s="316">
        <v>800.0</v>
      </c>
      <c r="U28" s="330"/>
      <c r="V28" s="136"/>
    </row>
    <row r="29">
      <c r="B29" s="317"/>
      <c r="C29" s="108"/>
      <c r="D29" s="108"/>
      <c r="E29" s="108"/>
      <c r="F29" s="174"/>
      <c r="H29" s="318" t="str">
        <f t="shared" si="1"/>
        <v>Wednesday</v>
      </c>
      <c r="I29" s="319">
        <v>45889.0</v>
      </c>
      <c r="J29" s="170">
        <f t="array" ref="J29">sum(IF(($P$3:$P$100=I29), $T$3:$T$100, 0))</f>
        <v>10</v>
      </c>
      <c r="L29" s="152"/>
      <c r="M29" s="47"/>
      <c r="N29" s="48"/>
      <c r="P29" s="315">
        <v>45875.0</v>
      </c>
      <c r="Q29" s="316" t="s">
        <v>119</v>
      </c>
      <c r="R29" s="316" t="s">
        <v>142</v>
      </c>
      <c r="S29" s="316" t="s">
        <v>51</v>
      </c>
      <c r="T29" s="316">
        <v>200.0</v>
      </c>
      <c r="U29" s="330" t="s">
        <v>161</v>
      </c>
      <c r="V29" s="136"/>
    </row>
    <row r="30">
      <c r="B30" s="317"/>
      <c r="C30" s="112"/>
      <c r="D30" s="112"/>
      <c r="E30" s="108"/>
      <c r="F30" s="174"/>
      <c r="H30" s="318" t="str">
        <f t="shared" si="1"/>
        <v>Thursday</v>
      </c>
      <c r="I30" s="319">
        <v>45890.0</v>
      </c>
      <c r="J30" s="170">
        <f t="array" ref="J30">sum(IF(($P$3:$P$100=I30), $T$3:$T$100, 0))</f>
        <v>0</v>
      </c>
      <c r="L30" s="152"/>
      <c r="M30" s="47"/>
      <c r="N30" s="48"/>
      <c r="P30" s="315">
        <v>45875.0</v>
      </c>
      <c r="Q30" s="316" t="s">
        <v>119</v>
      </c>
      <c r="R30" s="316" t="s">
        <v>141</v>
      </c>
      <c r="S30" s="316" t="s">
        <v>51</v>
      </c>
      <c r="T30" s="316">
        <v>120.0</v>
      </c>
      <c r="U30" s="330" t="s">
        <v>197</v>
      </c>
      <c r="V30" s="136"/>
    </row>
    <row r="31">
      <c r="B31" s="317"/>
      <c r="C31" s="108"/>
      <c r="D31" s="108"/>
      <c r="E31" s="108"/>
      <c r="F31" s="174"/>
      <c r="H31" s="318" t="str">
        <f t="shared" si="1"/>
        <v>Friday</v>
      </c>
      <c r="I31" s="319">
        <v>45891.0</v>
      </c>
      <c r="J31" s="170">
        <f t="array" ref="J31">sum(IF(($P$3:$P$100=I31), $T$3:$T$100, 0))</f>
        <v>2815</v>
      </c>
      <c r="L31" s="153"/>
      <c r="M31" s="154"/>
      <c r="N31" s="68"/>
      <c r="P31" s="315">
        <v>45877.0</v>
      </c>
      <c r="Q31" s="316" t="s">
        <v>131</v>
      </c>
      <c r="R31" s="316" t="s">
        <v>23</v>
      </c>
      <c r="S31" s="316" t="s">
        <v>51</v>
      </c>
      <c r="T31" s="316">
        <f>60+60+80+80</f>
        <v>280</v>
      </c>
      <c r="U31" s="330" t="s">
        <v>198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Saturday</v>
      </c>
      <c r="I32" s="319">
        <v>45892.0</v>
      </c>
      <c r="J32" s="170">
        <f t="array" ref="J32">sum(IF(($P$3:$P$100=I32), $T$3:$T$100, 0))</f>
        <v>0</v>
      </c>
      <c r="P32" s="315">
        <v>45877.0</v>
      </c>
      <c r="Q32" s="316" t="s">
        <v>131</v>
      </c>
      <c r="R32" s="316" t="s">
        <v>131</v>
      </c>
      <c r="S32" s="316" t="s">
        <v>51</v>
      </c>
      <c r="T32" s="316">
        <f>100+100+50</f>
        <v>250</v>
      </c>
      <c r="U32" s="330" t="s">
        <v>199</v>
      </c>
      <c r="V32" s="136"/>
    </row>
    <row r="33">
      <c r="B33" s="317"/>
      <c r="C33" s="108"/>
      <c r="D33" s="108"/>
      <c r="E33" s="108"/>
      <c r="F33" s="174"/>
      <c r="H33" s="318" t="str">
        <f t="shared" si="1"/>
        <v>Sunday</v>
      </c>
      <c r="I33" s="319">
        <v>45893.0</v>
      </c>
      <c r="J33" s="170">
        <f t="array" ref="J33">sum(IF(($P$3:$P$100=I33), $T$3:$T$100, 0))</f>
        <v>285</v>
      </c>
      <c r="L33" s="137"/>
      <c r="M33" s="86"/>
      <c r="N33" s="138">
        <f>sum(N35:N40)</f>
        <v>0</v>
      </c>
      <c r="P33" s="315">
        <v>45877.0</v>
      </c>
      <c r="Q33" s="316" t="s">
        <v>119</v>
      </c>
      <c r="R33" s="316" t="s">
        <v>142</v>
      </c>
      <c r="S33" s="316" t="s">
        <v>51</v>
      </c>
      <c r="T33" s="316">
        <v>100.0</v>
      </c>
      <c r="U33" s="330" t="s">
        <v>161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Monday</v>
      </c>
      <c r="I34" s="319">
        <v>45894.0</v>
      </c>
      <c r="J34" s="170">
        <f t="array" ref="J34">sum(IF(($P$3:$P$100=I34), $T$3:$T$100, 0))</f>
        <v>665</v>
      </c>
      <c r="L34" s="139"/>
      <c r="M34" s="140"/>
      <c r="N34" s="141"/>
      <c r="P34" s="315">
        <v>45877.0</v>
      </c>
      <c r="Q34" s="316" t="s">
        <v>26</v>
      </c>
      <c r="R34" s="316" t="s">
        <v>26</v>
      </c>
      <c r="S34" s="316" t="s">
        <v>51</v>
      </c>
      <c r="T34" s="316">
        <v>200.0</v>
      </c>
      <c r="U34" s="330" t="s">
        <v>200</v>
      </c>
      <c r="V34" s="136"/>
    </row>
    <row r="35">
      <c r="B35" s="317"/>
      <c r="C35" s="112"/>
      <c r="D35" s="112"/>
      <c r="E35" s="108"/>
      <c r="F35" s="174"/>
      <c r="H35" s="318" t="str">
        <f t="shared" si="1"/>
        <v>Tuesday</v>
      </c>
      <c r="I35" s="319">
        <v>45895.0</v>
      </c>
      <c r="J35" s="170">
        <f t="array" ref="J35">sum(IF(($P$3:$P$100=I35), $T$3:$T$100, 0))</f>
        <v>0</v>
      </c>
      <c r="L35" s="293"/>
      <c r="M35" s="316"/>
      <c r="N35" s="341"/>
      <c r="P35" s="315">
        <v>45878.0</v>
      </c>
      <c r="Q35" s="316" t="s">
        <v>131</v>
      </c>
      <c r="R35" s="316" t="s">
        <v>131</v>
      </c>
      <c r="S35" s="316" t="s">
        <v>136</v>
      </c>
      <c r="T35" s="316">
        <v>2460.0</v>
      </c>
      <c r="U35" s="330" t="s">
        <v>201</v>
      </c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315">
        <v>45878.0</v>
      </c>
      <c r="Q36" s="316" t="s">
        <v>119</v>
      </c>
      <c r="R36" s="316" t="s">
        <v>142</v>
      </c>
      <c r="S36" s="316" t="s">
        <v>51</v>
      </c>
      <c r="T36" s="316">
        <v>950.0</v>
      </c>
      <c r="U36" s="330" t="s">
        <v>202</v>
      </c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315">
        <v>45879.0</v>
      </c>
      <c r="Q37" s="316" t="s">
        <v>119</v>
      </c>
      <c r="R37" s="316" t="s">
        <v>142</v>
      </c>
      <c r="S37" s="316" t="s">
        <v>51</v>
      </c>
      <c r="T37" s="316">
        <v>480.0</v>
      </c>
      <c r="U37" s="330" t="s">
        <v>203</v>
      </c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315">
        <v>45879.0</v>
      </c>
      <c r="Q38" s="316" t="s">
        <v>123</v>
      </c>
      <c r="R38" s="316" t="s">
        <v>123</v>
      </c>
      <c r="S38" s="316" t="s">
        <v>51</v>
      </c>
      <c r="T38" s="316">
        <v>130.0</v>
      </c>
      <c r="U38" s="330" t="s">
        <v>169</v>
      </c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/>
      <c r="M39" s="289"/>
      <c r="N39" s="128"/>
      <c r="P39" s="315">
        <v>45879.0</v>
      </c>
      <c r="Q39" s="316" t="s">
        <v>119</v>
      </c>
      <c r="R39" s="316" t="s">
        <v>138</v>
      </c>
      <c r="S39" s="316" t="s">
        <v>51</v>
      </c>
      <c r="T39" s="316">
        <v>400.0</v>
      </c>
      <c r="U39" s="330" t="s">
        <v>204</v>
      </c>
      <c r="V39" s="136"/>
    </row>
    <row r="40">
      <c r="P40" s="315">
        <v>45879.0</v>
      </c>
      <c r="Q40" s="316" t="s">
        <v>131</v>
      </c>
      <c r="R40" s="316" t="s">
        <v>148</v>
      </c>
      <c r="S40" s="316" t="s">
        <v>51</v>
      </c>
      <c r="T40" s="316">
        <v>15.0</v>
      </c>
      <c r="U40" s="253"/>
      <c r="V40" s="136"/>
    </row>
    <row r="41">
      <c r="P41" s="315">
        <v>45879.0</v>
      </c>
      <c r="Q41" s="316" t="s">
        <v>26</v>
      </c>
      <c r="R41" s="316" t="s">
        <v>26</v>
      </c>
      <c r="S41" s="316" t="s">
        <v>51</v>
      </c>
      <c r="T41" s="316">
        <v>10.0</v>
      </c>
      <c r="U41" s="253"/>
      <c r="V41" s="136"/>
    </row>
    <row r="42">
      <c r="B42" s="347" t="s">
        <v>173</v>
      </c>
      <c r="C42" s="86"/>
      <c r="D42" s="86"/>
      <c r="E42" s="86"/>
      <c r="F42" s="86"/>
      <c r="G42" s="86"/>
      <c r="H42" s="86"/>
      <c r="I42" s="86"/>
      <c r="J42" s="86"/>
      <c r="K42" s="81"/>
      <c r="P42" s="315">
        <v>45880.0</v>
      </c>
      <c r="Q42" s="316" t="s">
        <v>131</v>
      </c>
      <c r="R42" s="316" t="s">
        <v>148</v>
      </c>
      <c r="S42" s="316" t="s">
        <v>51</v>
      </c>
      <c r="T42" s="316">
        <v>15.0</v>
      </c>
      <c r="U42" s="253"/>
      <c r="V42" s="136"/>
    </row>
    <row r="43">
      <c r="B43" s="348"/>
      <c r="C43" s="94"/>
      <c r="D43" s="94"/>
      <c r="E43" s="94"/>
      <c r="F43" s="94"/>
      <c r="G43" s="94"/>
      <c r="H43" s="94"/>
      <c r="I43" s="94"/>
      <c r="J43" s="94"/>
      <c r="K43" s="93"/>
      <c r="P43" s="315">
        <v>45881.0</v>
      </c>
      <c r="Q43" s="316" t="s">
        <v>119</v>
      </c>
      <c r="R43" s="316" t="s">
        <v>138</v>
      </c>
      <c r="S43" s="316" t="s">
        <v>51</v>
      </c>
      <c r="T43" s="316">
        <f>150+65</f>
        <v>215</v>
      </c>
      <c r="U43" s="330" t="s">
        <v>205</v>
      </c>
      <c r="V43" s="136"/>
    </row>
    <row r="44">
      <c r="B44" s="349" t="s">
        <v>107</v>
      </c>
      <c r="C44" s="158"/>
      <c r="D44" s="159"/>
      <c r="E44" s="350" t="s">
        <v>43</v>
      </c>
      <c r="F44" s="351" t="s">
        <v>108</v>
      </c>
      <c r="G44" s="158"/>
      <c r="H44" s="159"/>
      <c r="I44" s="350" t="s">
        <v>43</v>
      </c>
      <c r="J44" s="352" t="s">
        <v>4</v>
      </c>
      <c r="K44" s="159"/>
      <c r="L44" s="386" t="s">
        <v>206</v>
      </c>
      <c r="P44" s="315">
        <v>45881.0</v>
      </c>
      <c r="Q44" s="316" t="s">
        <v>131</v>
      </c>
      <c r="R44" s="316" t="s">
        <v>148</v>
      </c>
      <c r="S44" s="316" t="s">
        <v>51</v>
      </c>
      <c r="T44" s="316">
        <v>15.0</v>
      </c>
      <c r="U44" s="253"/>
      <c r="V44" s="136"/>
    </row>
    <row r="45">
      <c r="B45" s="387" t="s">
        <v>114</v>
      </c>
      <c r="C45" s="86"/>
      <c r="D45" s="81"/>
      <c r="E45" s="388">
        <f>Sum(I45:I50)</f>
        <v>16970</v>
      </c>
      <c r="F45" s="389" t="str">
        <f t="array" ref="F45:F73">INDIRECT("Subcategory")</f>
        <v>HouseRent</v>
      </c>
      <c r="G45" s="86"/>
      <c r="H45" s="81"/>
      <c r="I45" s="350">
        <v>13000.0</v>
      </c>
      <c r="J45" s="390">
        <f t="array" ref="J45">sum(IF(($R$3:$R$100=F45), $T$3:$T$100, 0))</f>
        <v>13000</v>
      </c>
      <c r="K45" s="159"/>
      <c r="L45" s="356">
        <f>sum(J45:J50)</f>
        <v>16906</v>
      </c>
      <c r="M45" s="298">
        <f>I45+I48+I50</f>
        <v>14880</v>
      </c>
      <c r="P45" s="315">
        <v>45882.0</v>
      </c>
      <c r="Q45" s="316" t="s">
        <v>131</v>
      </c>
      <c r="R45" s="316" t="s">
        <v>148</v>
      </c>
      <c r="S45" s="316" t="s">
        <v>51</v>
      </c>
      <c r="T45" s="316">
        <f>15+20</f>
        <v>35</v>
      </c>
      <c r="U45" s="253"/>
      <c r="V45" s="136"/>
    </row>
    <row r="46">
      <c r="B46" s="358"/>
      <c r="D46" s="359"/>
      <c r="E46" s="360"/>
      <c r="F46" s="391" t="s">
        <v>118</v>
      </c>
      <c r="H46" s="359"/>
      <c r="I46" s="380">
        <v>800.0</v>
      </c>
      <c r="J46" s="390">
        <f t="array" ref="J46">sum(IF(($R$3:$R$100=F46), $T$3:$T$100, 0))</f>
        <v>800</v>
      </c>
      <c r="K46" s="159"/>
      <c r="L46" s="360"/>
      <c r="P46" s="315">
        <v>45882.0</v>
      </c>
      <c r="Q46" s="316" t="s">
        <v>119</v>
      </c>
      <c r="R46" s="316" t="s">
        <v>142</v>
      </c>
      <c r="S46" s="316" t="s">
        <v>51</v>
      </c>
      <c r="T46" s="316">
        <v>80.0</v>
      </c>
      <c r="U46" s="253"/>
      <c r="V46" s="136"/>
    </row>
    <row r="47">
      <c r="B47" s="358"/>
      <c r="D47" s="359"/>
      <c r="E47" s="360"/>
      <c r="F47" s="391" t="s">
        <v>122</v>
      </c>
      <c r="H47" s="359"/>
      <c r="I47" s="380">
        <v>450.0</v>
      </c>
      <c r="J47" s="390">
        <f t="array" ref="J47">sum(IF(($R$3:$R$100=F47), $T$3:$T$100, 0))</f>
        <v>386</v>
      </c>
      <c r="K47" s="159"/>
      <c r="L47" s="360"/>
      <c r="P47" s="315">
        <v>45883.0</v>
      </c>
      <c r="Q47" s="316" t="s">
        <v>131</v>
      </c>
      <c r="R47" s="316" t="s">
        <v>148</v>
      </c>
      <c r="S47" s="316" t="s">
        <v>51</v>
      </c>
      <c r="T47" s="316">
        <v>10.0</v>
      </c>
      <c r="U47" s="253"/>
      <c r="V47" s="136"/>
    </row>
    <row r="48">
      <c r="B48" s="358"/>
      <c r="D48" s="359"/>
      <c r="E48" s="360"/>
      <c r="F48" s="391" t="s">
        <v>126</v>
      </c>
      <c r="H48" s="359"/>
      <c r="I48" s="350">
        <v>1080.0</v>
      </c>
      <c r="J48" s="390">
        <f t="array" ref="J48">sum(IF(($R$3:$R$100=F48), $T$3:$T$100, 0))</f>
        <v>1080</v>
      </c>
      <c r="K48" s="159"/>
      <c r="L48" s="360"/>
      <c r="P48" s="315">
        <v>45885.0</v>
      </c>
      <c r="Q48" s="316" t="s">
        <v>131</v>
      </c>
      <c r="R48" s="316" t="s">
        <v>131</v>
      </c>
      <c r="S48" s="316" t="s">
        <v>51</v>
      </c>
      <c r="T48" s="316">
        <f>200+50</f>
        <v>250</v>
      </c>
      <c r="U48" s="330" t="s">
        <v>207</v>
      </c>
      <c r="V48" s="136"/>
    </row>
    <row r="49">
      <c r="B49" s="358"/>
      <c r="D49" s="359"/>
      <c r="E49" s="360"/>
      <c r="F49" s="391" t="s">
        <v>130</v>
      </c>
      <c r="H49" s="359"/>
      <c r="I49" s="380">
        <v>840.0</v>
      </c>
      <c r="J49" s="390">
        <f t="array" ref="J49">sum(IF(($R$3:$R$100=F49), $T$3:$T$100, 0))</f>
        <v>840</v>
      </c>
      <c r="K49" s="159"/>
      <c r="L49" s="360"/>
      <c r="P49" s="315">
        <v>45885.0</v>
      </c>
      <c r="Q49" s="316" t="s">
        <v>119</v>
      </c>
      <c r="R49" s="316" t="s">
        <v>138</v>
      </c>
      <c r="S49" s="316" t="s">
        <v>51</v>
      </c>
      <c r="T49" s="316">
        <v>50.0</v>
      </c>
      <c r="U49" s="253"/>
      <c r="V49" s="136"/>
    </row>
    <row r="50">
      <c r="B50" s="348"/>
      <c r="C50" s="94"/>
      <c r="D50" s="93"/>
      <c r="E50" s="14"/>
      <c r="F50" s="392" t="s">
        <v>133</v>
      </c>
      <c r="G50" s="94"/>
      <c r="H50" s="93"/>
      <c r="I50" s="350">
        <f>200+600</f>
        <v>800</v>
      </c>
      <c r="J50" s="390">
        <f t="array" ref="J50">sum(IF(($R$3:$R$100=F50), $T$3:$T$100, 0))</f>
        <v>800</v>
      </c>
      <c r="K50" s="159"/>
      <c r="L50" s="14"/>
      <c r="P50" s="315">
        <v>45886.0</v>
      </c>
      <c r="Q50" s="316" t="s">
        <v>131</v>
      </c>
      <c r="R50" s="316" t="s">
        <v>23</v>
      </c>
      <c r="S50" s="316" t="s">
        <v>51</v>
      </c>
      <c r="T50" s="316">
        <f>30+30</f>
        <v>60</v>
      </c>
      <c r="U50" s="253"/>
      <c r="V50" s="136"/>
    </row>
    <row r="51">
      <c r="B51" s="353" t="s">
        <v>119</v>
      </c>
      <c r="C51" s="86"/>
      <c r="D51" s="81"/>
      <c r="E51" s="356">
        <f>Sum(I51:I54)</f>
        <v>10500</v>
      </c>
      <c r="F51" s="355" t="s">
        <v>135</v>
      </c>
      <c r="G51" s="86"/>
      <c r="H51" s="81"/>
      <c r="I51" s="378">
        <v>3000.0</v>
      </c>
      <c r="J51" s="379">
        <f t="array" ref="J51">sum(IF(($R$3:$R$100=F51), $T$3:$T$100, 0))</f>
        <v>5120</v>
      </c>
      <c r="K51" s="159"/>
      <c r="L51" s="356">
        <f>sum(J51:J54)</f>
        <v>17268</v>
      </c>
      <c r="P51" s="315">
        <v>45884.0</v>
      </c>
      <c r="Q51" s="316" t="s">
        <v>119</v>
      </c>
      <c r="R51" s="316" t="s">
        <v>142</v>
      </c>
      <c r="S51" s="316" t="s">
        <v>51</v>
      </c>
      <c r="T51" s="316">
        <v>40.0</v>
      </c>
      <c r="U51" s="253"/>
      <c r="V51" s="136"/>
    </row>
    <row r="52">
      <c r="B52" s="358"/>
      <c r="D52" s="359"/>
      <c r="E52" s="360"/>
      <c r="F52" s="361" t="s">
        <v>138</v>
      </c>
      <c r="H52" s="359"/>
      <c r="I52" s="378">
        <v>1000.0</v>
      </c>
      <c r="J52" s="379">
        <f t="array" ref="J52">sum(IF(($R$3:$R$100=F52), $T$3:$T$100, 0))</f>
        <v>1465</v>
      </c>
      <c r="K52" s="159"/>
      <c r="L52" s="360"/>
      <c r="P52" s="315">
        <v>45888.0</v>
      </c>
      <c r="Q52" s="316" t="s">
        <v>131</v>
      </c>
      <c r="R52" s="316" t="s">
        <v>148</v>
      </c>
      <c r="S52" s="316" t="s">
        <v>51</v>
      </c>
      <c r="T52" s="316">
        <v>15.0</v>
      </c>
      <c r="U52" s="253"/>
      <c r="V52" s="136"/>
    </row>
    <row r="53">
      <c r="B53" s="358"/>
      <c r="D53" s="359"/>
      <c r="E53" s="360"/>
      <c r="F53" s="361" t="s">
        <v>141</v>
      </c>
      <c r="H53" s="359"/>
      <c r="I53" s="378">
        <v>6000.0</v>
      </c>
      <c r="J53" s="379">
        <f t="array" ref="J53">sum(IF(($R$3:$R$100=F53), $T$3:$T$100, 0))</f>
        <v>8120</v>
      </c>
      <c r="K53" s="159"/>
      <c r="L53" s="360"/>
      <c r="P53" s="315">
        <v>45889.0</v>
      </c>
      <c r="Q53" s="316" t="s">
        <v>131</v>
      </c>
      <c r="R53" s="316" t="s">
        <v>131</v>
      </c>
      <c r="S53" s="316" t="s">
        <v>51</v>
      </c>
      <c r="T53" s="316">
        <v>10.0</v>
      </c>
      <c r="U53" s="253"/>
      <c r="V53" s="136"/>
    </row>
    <row r="54">
      <c r="B54" s="348"/>
      <c r="C54" s="94"/>
      <c r="D54" s="93"/>
      <c r="E54" s="14"/>
      <c r="F54" s="364" t="s">
        <v>142</v>
      </c>
      <c r="G54" s="94"/>
      <c r="H54" s="93"/>
      <c r="I54" s="378">
        <v>500.0</v>
      </c>
      <c r="J54" s="379">
        <f t="array" ref="J54">sum(IF(($R$3:$R$100=F54), $T$3:$T$100, 0))</f>
        <v>2563</v>
      </c>
      <c r="K54" s="159"/>
      <c r="L54" s="14"/>
      <c r="P54" s="315">
        <v>45888.0</v>
      </c>
      <c r="Q54" s="316" t="s">
        <v>123</v>
      </c>
      <c r="R54" s="316" t="s">
        <v>144</v>
      </c>
      <c r="S54" s="316" t="s">
        <v>51</v>
      </c>
      <c r="T54" s="316">
        <v>50.0</v>
      </c>
      <c r="U54" s="253"/>
      <c r="V54" s="136"/>
    </row>
    <row r="55">
      <c r="B55" s="353" t="s">
        <v>123</v>
      </c>
      <c r="C55" s="86"/>
      <c r="D55" s="81"/>
      <c r="E55" s="356"/>
      <c r="F55" s="355" t="s">
        <v>123</v>
      </c>
      <c r="G55" s="86"/>
      <c r="H55" s="81"/>
      <c r="I55" s="382">
        <v>300.0</v>
      </c>
      <c r="J55" s="379">
        <f t="array" ref="J55">sum(IF(($R$3:$R$100=F55), $T$3:$T$100, 0))</f>
        <v>130</v>
      </c>
      <c r="K55" s="159"/>
      <c r="L55" s="393"/>
      <c r="P55" s="315">
        <v>45887.0</v>
      </c>
      <c r="Q55" s="316" t="s">
        <v>119</v>
      </c>
      <c r="R55" s="316" t="s">
        <v>142</v>
      </c>
      <c r="S55" s="316" t="s">
        <v>51</v>
      </c>
      <c r="T55" s="316">
        <f>160</f>
        <v>160</v>
      </c>
      <c r="U55" s="330" t="s">
        <v>161</v>
      </c>
      <c r="V55" s="136"/>
    </row>
    <row r="56">
      <c r="B56" s="358"/>
      <c r="D56" s="359"/>
      <c r="E56" s="360"/>
      <c r="F56" s="361" t="s">
        <v>144</v>
      </c>
      <c r="H56" s="359"/>
      <c r="I56" s="378">
        <v>200.0</v>
      </c>
      <c r="J56" s="379">
        <f t="array" ref="J56">sum(IF(($R$3:$R$100=F56), $T$3:$T$100, 0))</f>
        <v>80</v>
      </c>
      <c r="K56" s="159"/>
      <c r="L56" s="360"/>
      <c r="P56" s="315">
        <v>45868.0</v>
      </c>
      <c r="Q56" s="316" t="s">
        <v>127</v>
      </c>
      <c r="R56" s="316" t="s">
        <v>147</v>
      </c>
      <c r="S56" s="316" t="s">
        <v>12</v>
      </c>
      <c r="T56" s="316">
        <v>208.0</v>
      </c>
      <c r="U56" s="253"/>
      <c r="V56" s="136"/>
    </row>
    <row r="57">
      <c r="B57" s="348"/>
      <c r="C57" s="94"/>
      <c r="D57" s="93"/>
      <c r="E57" s="14"/>
      <c r="F57" s="364" t="s">
        <v>145</v>
      </c>
      <c r="G57" s="94"/>
      <c r="H57" s="93"/>
      <c r="I57" s="378">
        <v>300.0</v>
      </c>
      <c r="J57" s="379">
        <f t="array" ref="J57">sum(IF(($R$3:$R$100=F57), $T$3:$T$100, 0))</f>
        <v>270</v>
      </c>
      <c r="K57" s="159"/>
      <c r="L57" s="14"/>
      <c r="P57" s="315">
        <v>45842.0</v>
      </c>
      <c r="Q57" s="316" t="s">
        <v>127</v>
      </c>
      <c r="R57" s="316" t="s">
        <v>146</v>
      </c>
      <c r="S57" s="316" t="s">
        <v>12</v>
      </c>
      <c r="T57" s="316">
        <v>30.0</v>
      </c>
      <c r="U57" s="253"/>
      <c r="V57" s="136"/>
    </row>
    <row r="58">
      <c r="B58" s="353" t="s">
        <v>127</v>
      </c>
      <c r="C58" s="86"/>
      <c r="D58" s="81"/>
      <c r="E58" s="356"/>
      <c r="F58" s="355" t="s">
        <v>146</v>
      </c>
      <c r="G58" s="86"/>
      <c r="H58" s="81"/>
      <c r="I58" s="380">
        <v>100.0</v>
      </c>
      <c r="J58" s="379">
        <f t="array" ref="J58">sum(IF(($R$3:$R$100=F58), $T$3:$T$100, 0))</f>
        <v>80</v>
      </c>
      <c r="K58" s="159"/>
      <c r="L58" s="393"/>
      <c r="P58" s="315">
        <v>45855.0</v>
      </c>
      <c r="Q58" s="316" t="s">
        <v>127</v>
      </c>
      <c r="R58" s="316" t="s">
        <v>142</v>
      </c>
      <c r="S58" s="316" t="s">
        <v>12</v>
      </c>
      <c r="T58" s="136">
        <f>208+50</f>
        <v>258</v>
      </c>
      <c r="U58" s="253"/>
      <c r="V58" s="136"/>
    </row>
    <row r="59">
      <c r="B59" s="348"/>
      <c r="C59" s="94"/>
      <c r="D59" s="93"/>
      <c r="E59" s="14"/>
      <c r="F59" s="364" t="s">
        <v>147</v>
      </c>
      <c r="G59" s="94"/>
      <c r="H59" s="93"/>
      <c r="I59" s="380">
        <v>300.0</v>
      </c>
      <c r="J59" s="379">
        <f t="array" ref="J59">sum(IF(($R$3:$R$100=F59), $T$3:$T$100, 0))</f>
        <v>258</v>
      </c>
      <c r="K59" s="159"/>
      <c r="L59" s="14"/>
      <c r="P59" s="315">
        <v>45855.0</v>
      </c>
      <c r="Q59" s="316" t="s">
        <v>114</v>
      </c>
      <c r="R59" s="316" t="s">
        <v>130</v>
      </c>
      <c r="S59" s="316" t="s">
        <v>12</v>
      </c>
      <c r="T59" s="316">
        <v>840.0</v>
      </c>
      <c r="U59" s="253"/>
      <c r="V59" s="136"/>
    </row>
    <row r="60">
      <c r="B60" s="353" t="s">
        <v>131</v>
      </c>
      <c r="C60" s="86"/>
      <c r="D60" s="81"/>
      <c r="E60" s="356"/>
      <c r="F60" s="355" t="s">
        <v>148</v>
      </c>
      <c r="G60" s="86"/>
      <c r="H60" s="81"/>
      <c r="I60" s="378">
        <v>200.0</v>
      </c>
      <c r="J60" s="379">
        <f t="array" ref="J60">sum(IF(($R$3:$R$100=F60), $T$3:$T$100, 0))</f>
        <v>195</v>
      </c>
      <c r="K60" s="159"/>
      <c r="L60" s="393"/>
      <c r="P60" s="315">
        <v>45856.0</v>
      </c>
      <c r="Q60" s="316" t="s">
        <v>127</v>
      </c>
      <c r="R60" s="316" t="s">
        <v>146</v>
      </c>
      <c r="S60" s="316" t="s">
        <v>12</v>
      </c>
      <c r="T60" s="316">
        <v>30.0</v>
      </c>
      <c r="U60" s="253"/>
      <c r="V60" s="136"/>
    </row>
    <row r="61">
      <c r="B61" s="358"/>
      <c r="D61" s="359"/>
      <c r="E61" s="360"/>
      <c r="F61" s="361" t="s">
        <v>23</v>
      </c>
      <c r="H61" s="359"/>
      <c r="I61" s="378">
        <v>300.0</v>
      </c>
      <c r="J61" s="379">
        <f t="array" ref="J61">sum(IF(($R$3:$R$100=F61), $T$3:$T$100, 0))</f>
        <v>400</v>
      </c>
      <c r="K61" s="159"/>
      <c r="L61" s="360"/>
      <c r="P61" s="315">
        <v>45859.0</v>
      </c>
      <c r="Q61" s="316" t="s">
        <v>114</v>
      </c>
      <c r="R61" s="316" t="s">
        <v>122</v>
      </c>
      <c r="S61" s="316" t="s">
        <v>12</v>
      </c>
      <c r="T61" s="316">
        <v>386.0</v>
      </c>
      <c r="U61" s="253"/>
      <c r="V61" s="136"/>
    </row>
    <row r="62">
      <c r="B62" s="348"/>
      <c r="C62" s="94"/>
      <c r="D62" s="93"/>
      <c r="E62" s="14"/>
      <c r="F62" s="364" t="s">
        <v>149</v>
      </c>
      <c r="G62" s="94"/>
      <c r="H62" s="93"/>
      <c r="I62" s="378">
        <f>500+2500</f>
        <v>3000</v>
      </c>
      <c r="J62" s="379">
        <f t="array" ref="J62">sum(IF(($R$3:$R$100=F62), $T$3:$T$100, 0))</f>
        <v>0</v>
      </c>
      <c r="K62" s="159"/>
      <c r="L62" s="14"/>
      <c r="P62" s="315">
        <v>45864.0</v>
      </c>
      <c r="Q62" s="316" t="s">
        <v>127</v>
      </c>
      <c r="R62" s="316" t="s">
        <v>146</v>
      </c>
      <c r="S62" s="316" t="s">
        <v>12</v>
      </c>
      <c r="T62" s="316">
        <v>20.0</v>
      </c>
      <c r="U62" s="253"/>
      <c r="V62" s="136"/>
    </row>
    <row r="63">
      <c r="B63" s="367" t="s">
        <v>134</v>
      </c>
      <c r="D63" s="359"/>
      <c r="E63" s="362"/>
      <c r="F63" s="361" t="s">
        <v>150</v>
      </c>
      <c r="H63" s="359"/>
      <c r="I63" s="380">
        <v>2500.0</v>
      </c>
      <c r="J63" s="379">
        <f t="array" ref="J63">sum(IF(($R$3:$R$100=F63), $T$3:$T$100, 0))</f>
        <v>0</v>
      </c>
      <c r="K63" s="159"/>
      <c r="L63" s="393"/>
      <c r="P63" s="315">
        <v>45891.0</v>
      </c>
      <c r="Q63" s="316" t="s">
        <v>119</v>
      </c>
      <c r="R63" s="316" t="s">
        <v>135</v>
      </c>
      <c r="S63" s="316" t="s">
        <v>51</v>
      </c>
      <c r="T63" s="316">
        <f>840+500+980+100+70+60+20</f>
        <v>2570</v>
      </c>
      <c r="U63" s="330" t="s">
        <v>208</v>
      </c>
      <c r="V63" s="136"/>
    </row>
    <row r="64">
      <c r="B64" s="358"/>
      <c r="D64" s="359"/>
      <c r="E64" s="360"/>
      <c r="F64" s="361" t="s">
        <v>131</v>
      </c>
      <c r="H64" s="359"/>
      <c r="I64" s="356"/>
      <c r="J64" s="394">
        <f t="array" ref="J64">sum(IF(($R$3:$R$100=F64), $T$3:$T$100, 0))</f>
        <v>3030</v>
      </c>
      <c r="K64" s="81"/>
      <c r="L64" s="14"/>
      <c r="P64" s="315">
        <v>45891.0</v>
      </c>
      <c r="Q64" s="316" t="s">
        <v>26</v>
      </c>
      <c r="R64" s="316" t="s">
        <v>26</v>
      </c>
      <c r="S64" s="316" t="s">
        <v>51</v>
      </c>
      <c r="T64" s="316">
        <f>50+50</f>
        <v>100</v>
      </c>
      <c r="U64" s="253"/>
      <c r="V64" s="136"/>
    </row>
    <row r="65">
      <c r="B65" s="353" t="s">
        <v>26</v>
      </c>
      <c r="C65" s="86"/>
      <c r="D65" s="86"/>
      <c r="E65" s="356"/>
      <c r="F65" s="355" t="s">
        <v>116</v>
      </c>
      <c r="G65" s="86"/>
      <c r="H65" s="81"/>
      <c r="I65" s="378">
        <f>330+500</f>
        <v>830</v>
      </c>
      <c r="J65" s="357">
        <f t="array" ref="J65">sum(IF(($R$3:$R$100=F65), $T$3:$T$100, 0))</f>
        <v>2500</v>
      </c>
      <c r="K65" s="81"/>
      <c r="L65" s="393"/>
      <c r="P65" s="315">
        <v>45891.0</v>
      </c>
      <c r="Q65" s="316" t="s">
        <v>119</v>
      </c>
      <c r="R65" s="316" t="s">
        <v>142</v>
      </c>
      <c r="S65" s="316" t="s">
        <v>51</v>
      </c>
      <c r="T65" s="316">
        <f>60+45</f>
        <v>105</v>
      </c>
      <c r="U65" s="253"/>
      <c r="V65" s="136"/>
    </row>
    <row r="66">
      <c r="B66" s="348"/>
      <c r="C66" s="94"/>
      <c r="D66" s="94"/>
      <c r="E66" s="14"/>
      <c r="F66" s="395" t="s">
        <v>121</v>
      </c>
      <c r="G66" s="94"/>
      <c r="H66" s="93"/>
      <c r="I66" s="396"/>
      <c r="J66" s="357">
        <f t="array" ref="J66">sum(IF(($R$3:$R$100=F66), $T$3:$T$100, 0))</f>
        <v>0</v>
      </c>
      <c r="K66" s="81"/>
      <c r="L66" s="14"/>
      <c r="P66" s="315">
        <v>45891.0</v>
      </c>
      <c r="Q66" s="316" t="s">
        <v>131</v>
      </c>
      <c r="R66" s="316" t="s">
        <v>23</v>
      </c>
      <c r="S66" s="316" t="s">
        <v>51</v>
      </c>
      <c r="T66" s="316">
        <f>20+20</f>
        <v>40</v>
      </c>
      <c r="U66" s="253"/>
      <c r="V66" s="136"/>
    </row>
    <row r="67">
      <c r="B67" s="353" t="s">
        <v>139</v>
      </c>
      <c r="C67" s="86"/>
      <c r="D67" s="86"/>
      <c r="E67" s="356"/>
      <c r="F67" s="355" t="s">
        <v>125</v>
      </c>
      <c r="G67" s="86"/>
      <c r="H67" s="81"/>
      <c r="I67" s="380">
        <v>0.0</v>
      </c>
      <c r="J67" s="357">
        <f t="array" ref="J67">sum(IF(($R$3:$R$100=F67), $T$3:$T$100, 0))</f>
        <v>0</v>
      </c>
      <c r="K67" s="81"/>
      <c r="L67" s="393"/>
      <c r="P67" s="315">
        <v>45893.0</v>
      </c>
      <c r="Q67" s="316" t="s">
        <v>131</v>
      </c>
      <c r="R67" s="316" t="s">
        <v>148</v>
      </c>
      <c r="S67" s="316" t="s">
        <v>51</v>
      </c>
      <c r="T67" s="316">
        <v>15.0</v>
      </c>
      <c r="U67" s="253"/>
      <c r="V67" s="136"/>
    </row>
    <row r="68">
      <c r="B68" s="348"/>
      <c r="C68" s="94"/>
      <c r="D68" s="94"/>
      <c r="E68" s="14"/>
      <c r="F68" s="395" t="s">
        <v>129</v>
      </c>
      <c r="G68" s="94"/>
      <c r="H68" s="93"/>
      <c r="I68" s="397">
        <v>0.0</v>
      </c>
      <c r="J68" s="371">
        <f t="array" ref="J68">sum(IF(($R$3:$R$100=F68), $T$3:$T$100, 0))</f>
        <v>0</v>
      </c>
      <c r="K68" s="159"/>
      <c r="L68" s="14"/>
      <c r="P68" s="315">
        <v>45893.0</v>
      </c>
      <c r="Q68" s="316" t="s">
        <v>123</v>
      </c>
      <c r="R68" s="316" t="s">
        <v>145</v>
      </c>
      <c r="S68" s="316" t="s">
        <v>51</v>
      </c>
      <c r="T68" s="136">
        <f>150+120</f>
        <v>270</v>
      </c>
      <c r="U68" s="253"/>
      <c r="V68" s="136"/>
    </row>
    <row r="69">
      <c r="F69" s="298" t="s">
        <v>132</v>
      </c>
      <c r="P69" s="315">
        <v>45894.0</v>
      </c>
      <c r="Q69" s="316" t="s">
        <v>131</v>
      </c>
      <c r="R69" s="316" t="s">
        <v>148</v>
      </c>
      <c r="S69" s="316" t="s">
        <v>51</v>
      </c>
      <c r="T69" s="316">
        <v>15.0</v>
      </c>
      <c r="U69" s="253"/>
      <c r="V69" s="136"/>
    </row>
    <row r="70">
      <c r="F70" s="298" t="s">
        <v>26</v>
      </c>
      <c r="H70" s="10" t="s">
        <v>96</v>
      </c>
      <c r="I70" s="136">
        <f t="shared" ref="I70:J70" si="2">SUM(I45:I68)</f>
        <v>35500</v>
      </c>
      <c r="J70" s="136">
        <f t="shared" si="2"/>
        <v>41117</v>
      </c>
      <c r="L70" s="298">
        <f t="shared" ref="L70:L72" si="4">I70-J70</f>
        <v>-5617</v>
      </c>
      <c r="P70" s="315">
        <v>45894.0</v>
      </c>
      <c r="Q70" s="316" t="s">
        <v>119</v>
      </c>
      <c r="R70" s="316" t="s">
        <v>138</v>
      </c>
      <c r="S70" s="316" t="s">
        <v>51</v>
      </c>
      <c r="T70" s="316">
        <f>430+220</f>
        <v>650</v>
      </c>
      <c r="U70" s="330" t="s">
        <v>209</v>
      </c>
      <c r="V70" s="136"/>
    </row>
    <row r="71">
      <c r="F71" s="298" t="s">
        <v>151</v>
      </c>
      <c r="H71" s="10" t="s">
        <v>190</v>
      </c>
      <c r="I71" s="136">
        <f t="shared" ref="I71:J71" si="3">I46+I47+I49+I58+I59+I63+I67+I68</f>
        <v>4990</v>
      </c>
      <c r="J71" s="136">
        <f t="shared" si="3"/>
        <v>2364</v>
      </c>
      <c r="L71" s="298">
        <f t="shared" si="4"/>
        <v>2626</v>
      </c>
      <c r="P71" s="315"/>
      <c r="Q71" s="316"/>
      <c r="R71" s="316"/>
      <c r="S71" s="316"/>
      <c r="T71" s="316"/>
      <c r="U71" s="253"/>
      <c r="V71" s="136"/>
    </row>
    <row r="72">
      <c r="F72" s="298" t="s">
        <v>152</v>
      </c>
      <c r="H72" s="10" t="s">
        <v>51</v>
      </c>
      <c r="I72" s="136">
        <f t="shared" ref="I72:J72" si="5">I70-I71</f>
        <v>30510</v>
      </c>
      <c r="J72" s="136">
        <f t="shared" si="5"/>
        <v>38753</v>
      </c>
      <c r="L72" s="298">
        <f t="shared" si="4"/>
        <v>-8243</v>
      </c>
      <c r="P72" s="315"/>
      <c r="Q72" s="316"/>
      <c r="R72" s="316"/>
      <c r="S72" s="316"/>
      <c r="T72" s="316"/>
      <c r="U72" s="253"/>
      <c r="V72" s="136"/>
    </row>
    <row r="73">
      <c r="F73" s="298" t="s">
        <v>153</v>
      </c>
      <c r="P73" s="315"/>
      <c r="Q73" s="316"/>
      <c r="R73" s="316"/>
      <c r="S73" s="316"/>
      <c r="T73" s="316"/>
      <c r="U73" s="253"/>
      <c r="V73" s="136"/>
    </row>
    <row r="74">
      <c r="P74" s="315"/>
      <c r="Q74" s="316"/>
      <c r="R74" s="316"/>
      <c r="S74" s="316"/>
      <c r="T74" s="316"/>
      <c r="U74" s="253"/>
      <c r="V74" s="136"/>
    </row>
    <row r="75">
      <c r="P75" s="315"/>
      <c r="Q75" s="316"/>
      <c r="R75" s="316"/>
      <c r="S75" s="316"/>
      <c r="T75" s="316"/>
      <c r="U75" s="253"/>
      <c r="V75" s="136"/>
    </row>
    <row r="76">
      <c r="P76" s="315"/>
      <c r="Q76" s="316"/>
      <c r="R76" s="316"/>
      <c r="S76" s="316"/>
      <c r="T76" s="316"/>
      <c r="U76" s="253"/>
      <c r="V76" s="136"/>
    </row>
    <row r="77">
      <c r="P77" s="315"/>
      <c r="Q77" s="316"/>
      <c r="R77" s="316"/>
      <c r="S77" s="316"/>
      <c r="T77" s="316"/>
      <c r="U77" s="253"/>
      <c r="V77" s="136"/>
    </row>
    <row r="78">
      <c r="P78" s="315"/>
      <c r="Q78" s="316"/>
      <c r="R78" s="316"/>
      <c r="S78" s="316"/>
      <c r="T78" s="316"/>
      <c r="U78" s="253"/>
      <c r="V78" s="136"/>
    </row>
    <row r="79">
      <c r="P79" s="315"/>
      <c r="Q79" s="316"/>
      <c r="R79" s="316"/>
      <c r="S79" s="316"/>
      <c r="T79" s="316"/>
      <c r="U79" s="253"/>
      <c r="V79" s="136"/>
    </row>
    <row r="80">
      <c r="P80" s="315"/>
      <c r="Q80" s="316"/>
      <c r="R80" s="316"/>
      <c r="S80" s="316"/>
      <c r="T80" s="316"/>
      <c r="U80" s="253"/>
      <c r="V80" s="136"/>
    </row>
    <row r="81">
      <c r="P81" s="315"/>
      <c r="Q81" s="136"/>
      <c r="R81" s="136"/>
      <c r="S81" s="136"/>
      <c r="T81" s="136"/>
      <c r="U81" s="253"/>
      <c r="V81" s="136"/>
    </row>
    <row r="82">
      <c r="P82" s="315"/>
      <c r="Q82" s="136"/>
      <c r="R82" s="136"/>
      <c r="S82" s="136"/>
      <c r="T82" s="136"/>
      <c r="U82" s="253"/>
      <c r="V82" s="136"/>
    </row>
    <row r="83">
      <c r="P83" s="315"/>
      <c r="Q83" s="136"/>
      <c r="R83" s="136"/>
      <c r="S83" s="136"/>
      <c r="T83" s="136"/>
      <c r="U83" s="253"/>
      <c r="V83" s="136"/>
    </row>
    <row r="84">
      <c r="P84" s="252"/>
      <c r="Q84" s="136"/>
      <c r="R84" s="136"/>
      <c r="S84" s="136"/>
      <c r="T84" s="136"/>
      <c r="U84" s="253"/>
      <c r="V84" s="136"/>
    </row>
    <row r="85">
      <c r="P85" s="252"/>
      <c r="Q85" s="136"/>
      <c r="R85" s="136"/>
      <c r="S85" s="136"/>
      <c r="T85" s="136"/>
      <c r="U85" s="253"/>
      <c r="V85" s="136"/>
    </row>
    <row r="86">
      <c r="P86" s="252"/>
      <c r="Q86" s="136"/>
      <c r="R86" s="136"/>
      <c r="S86" s="136"/>
      <c r="T86" s="136"/>
      <c r="U86" s="253"/>
      <c r="V86" s="136"/>
    </row>
    <row r="87">
      <c r="P87" s="252"/>
      <c r="Q87" s="136"/>
      <c r="R87" s="136"/>
      <c r="S87" s="136"/>
      <c r="T87" s="136"/>
      <c r="U87" s="253"/>
      <c r="V87" s="136"/>
    </row>
    <row r="88">
      <c r="P88" s="252"/>
      <c r="Q88" s="136"/>
      <c r="R88" s="136"/>
      <c r="S88" s="136"/>
      <c r="T88" s="136"/>
      <c r="U88" s="253"/>
      <c r="V88" s="136"/>
    </row>
    <row r="89">
      <c r="P89" s="252"/>
      <c r="Q89" s="136"/>
      <c r="R89" s="136"/>
      <c r="S89" s="136"/>
      <c r="T89" s="136"/>
      <c r="U89" s="253"/>
      <c r="V89" s="136"/>
    </row>
    <row r="90">
      <c r="P90" s="252"/>
      <c r="Q90" s="136"/>
      <c r="R90" s="136"/>
      <c r="S90" s="136"/>
      <c r="T90" s="136"/>
      <c r="U90" s="253"/>
      <c r="V90" s="136"/>
    </row>
    <row r="91">
      <c r="P91" s="252"/>
      <c r="Q91" s="136"/>
      <c r="R91" s="136"/>
      <c r="S91" s="136"/>
      <c r="T91" s="136"/>
      <c r="U91" s="253"/>
      <c r="V91" s="136"/>
    </row>
    <row r="92">
      <c r="P92" s="252"/>
      <c r="Q92" s="136"/>
      <c r="R92" s="136"/>
      <c r="S92" s="136"/>
      <c r="T92" s="136"/>
      <c r="U92" s="253"/>
      <c r="V92" s="136"/>
    </row>
    <row r="93">
      <c r="P93" s="252"/>
      <c r="Q93" s="136"/>
      <c r="R93" s="136"/>
      <c r="S93" s="136"/>
      <c r="T93" s="136"/>
      <c r="U93" s="253"/>
      <c r="V93" s="136"/>
    </row>
    <row r="94">
      <c r="P94" s="252"/>
      <c r="Q94" s="136"/>
      <c r="R94" s="136"/>
      <c r="S94" s="136"/>
      <c r="T94" s="136"/>
      <c r="U94" s="253"/>
      <c r="V94" s="136"/>
    </row>
    <row r="95">
      <c r="P95" s="252"/>
      <c r="Q95" s="136"/>
      <c r="R95" s="136"/>
      <c r="S95" s="136"/>
      <c r="T95" s="136"/>
      <c r="U95" s="253"/>
      <c r="V95" s="136"/>
    </row>
    <row r="96">
      <c r="P96" s="252"/>
      <c r="Q96" s="136"/>
      <c r="R96" s="136"/>
      <c r="S96" s="136"/>
      <c r="T96" s="136"/>
      <c r="U96" s="253"/>
      <c r="V96" s="136"/>
    </row>
    <row r="97">
      <c r="P97" s="252"/>
      <c r="Q97" s="136"/>
      <c r="R97" s="136"/>
      <c r="S97" s="136"/>
      <c r="T97" s="136"/>
      <c r="U97" s="253"/>
      <c r="V97" s="136"/>
    </row>
    <row r="98">
      <c r="P98" s="252"/>
      <c r="Q98" s="136"/>
      <c r="R98" s="136"/>
      <c r="S98" s="136"/>
      <c r="T98" s="136"/>
      <c r="U98" s="253"/>
      <c r="V98" s="136"/>
    </row>
    <row r="99">
      <c r="P99" s="252"/>
      <c r="Q99" s="136"/>
      <c r="R99" s="136"/>
      <c r="S99" s="136"/>
      <c r="T99" s="136"/>
      <c r="U99" s="253"/>
      <c r="V99" s="136"/>
    </row>
    <row r="100">
      <c r="P100" s="252"/>
      <c r="Q100" s="136"/>
      <c r="R100" s="136"/>
      <c r="S100" s="136"/>
      <c r="T100" s="136"/>
      <c r="U100" s="25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88">
    <mergeCell ref="F56:H56"/>
    <mergeCell ref="F57:H57"/>
    <mergeCell ref="F60:H60"/>
    <mergeCell ref="F63:H63"/>
    <mergeCell ref="F65:H65"/>
    <mergeCell ref="F67:H67"/>
    <mergeCell ref="F68:H68"/>
    <mergeCell ref="F48:H48"/>
    <mergeCell ref="F49:H49"/>
    <mergeCell ref="F51:H51"/>
    <mergeCell ref="F52:H52"/>
    <mergeCell ref="F53:H53"/>
    <mergeCell ref="F54:H54"/>
    <mergeCell ref="F55:H55"/>
    <mergeCell ref="B60:D62"/>
    <mergeCell ref="E60:E62"/>
    <mergeCell ref="B63:D64"/>
    <mergeCell ref="E63:E64"/>
    <mergeCell ref="B65:D66"/>
    <mergeCell ref="E65:E66"/>
    <mergeCell ref="B67:D68"/>
    <mergeCell ref="E67:E68"/>
    <mergeCell ref="B45:D50"/>
    <mergeCell ref="B51:D54"/>
    <mergeCell ref="E51:E54"/>
    <mergeCell ref="B55:D57"/>
    <mergeCell ref="E55:E57"/>
    <mergeCell ref="B58:D59"/>
    <mergeCell ref="E58:E59"/>
    <mergeCell ref="J59:K59"/>
    <mergeCell ref="J60:K60"/>
    <mergeCell ref="J61:K61"/>
    <mergeCell ref="J62:K62"/>
    <mergeCell ref="J63:K63"/>
    <mergeCell ref="J64:K64"/>
    <mergeCell ref="J65:K65"/>
    <mergeCell ref="J73:K73"/>
    <mergeCell ref="J74:K74"/>
    <mergeCell ref="J66:K66"/>
    <mergeCell ref="J67:K67"/>
    <mergeCell ref="L67:L68"/>
    <mergeCell ref="J68:K68"/>
    <mergeCell ref="J70:K70"/>
    <mergeCell ref="J71:K71"/>
    <mergeCell ref="J72:K72"/>
    <mergeCell ref="B2:F2"/>
    <mergeCell ref="H2:H3"/>
    <mergeCell ref="I2:I3"/>
    <mergeCell ref="L2:M2"/>
    <mergeCell ref="L15:M15"/>
    <mergeCell ref="L24:M24"/>
    <mergeCell ref="L33:M33"/>
    <mergeCell ref="F46:H46"/>
    <mergeCell ref="F47:H47"/>
    <mergeCell ref="B42:K43"/>
    <mergeCell ref="B44:D44"/>
    <mergeCell ref="F44:H44"/>
    <mergeCell ref="J44:K44"/>
    <mergeCell ref="E45:E50"/>
    <mergeCell ref="F45:H45"/>
    <mergeCell ref="F50:H50"/>
    <mergeCell ref="L45:L50"/>
    <mergeCell ref="L51:L54"/>
    <mergeCell ref="L55:L57"/>
    <mergeCell ref="L58:L59"/>
    <mergeCell ref="L60:L62"/>
    <mergeCell ref="L63:L64"/>
    <mergeCell ref="L65:L66"/>
    <mergeCell ref="J45:K45"/>
    <mergeCell ref="J46:K46"/>
    <mergeCell ref="J47:K47"/>
    <mergeCell ref="J48:K48"/>
    <mergeCell ref="J49:K49"/>
    <mergeCell ref="J50:K50"/>
    <mergeCell ref="J51:K51"/>
    <mergeCell ref="F58:H58"/>
    <mergeCell ref="F59:H59"/>
    <mergeCell ref="F61:H61"/>
    <mergeCell ref="F62:H62"/>
    <mergeCell ref="F64:H64"/>
    <mergeCell ref="F66:H66"/>
    <mergeCell ref="J52:K52"/>
    <mergeCell ref="J53:K53"/>
    <mergeCell ref="J54:K54"/>
    <mergeCell ref="J55:K55"/>
    <mergeCell ref="J56:K56"/>
    <mergeCell ref="J57:K57"/>
    <mergeCell ref="J58:K58"/>
  </mergeCells>
  <conditionalFormatting sqref="J45:K68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42574</v>
      </c>
      <c r="L2" s="84" t="s">
        <v>34</v>
      </c>
      <c r="M2" s="86"/>
      <c r="N2" s="85">
        <f>M4+M5+M8+M9</f>
        <v>12889</v>
      </c>
      <c r="P2" s="309" t="s">
        <v>6</v>
      </c>
      <c r="Q2" s="310" t="s">
        <v>107</v>
      </c>
      <c r="R2" s="310" t="s">
        <v>108</v>
      </c>
      <c r="S2" s="310" t="s">
        <v>156</v>
      </c>
      <c r="T2" s="310" t="s">
        <v>35</v>
      </c>
      <c r="U2" s="311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315">
        <v>45895.0</v>
      </c>
      <c r="Q3" s="316" t="s">
        <v>131</v>
      </c>
      <c r="R3" s="316" t="s">
        <v>23</v>
      </c>
      <c r="S3" s="316" t="s">
        <v>51</v>
      </c>
      <c r="T3" s="316">
        <f>10+50+30</f>
        <v>90</v>
      </c>
      <c r="U3" s="330"/>
      <c r="V3" s="136"/>
    </row>
    <row r="4">
      <c r="B4" s="317">
        <v>45895.0</v>
      </c>
      <c r="C4" s="108"/>
      <c r="D4" s="150">
        <v>39500.0</v>
      </c>
      <c r="E4" s="108" t="s">
        <v>143</v>
      </c>
      <c r="F4" s="174" t="s">
        <v>120</v>
      </c>
      <c r="H4" s="318" t="str">
        <f t="shared" ref="H4:H35" si="1">TEXT(I4, "dddd")
</f>
        <v>Tuesday</v>
      </c>
      <c r="I4" s="319">
        <v>45895.0</v>
      </c>
      <c r="J4" s="170">
        <f t="array" ref="J4">sum(IF(($P$3:$P$100=I4), $T$3:$T$100, 0))</f>
        <v>1020</v>
      </c>
      <c r="L4" s="320" t="str">
        <f t="array" ref="L4:L12">INDIRECT("Account")</f>
        <v>Cash</v>
      </c>
      <c r="M4" s="321">
        <f t="array" ref="M4">N4 - sum(IF(($E$4:$E$49=L4), $D$4:$D$39 + $C$4:$C$39, 0)) + sum(IF(($F$4:$F$49=L4), $D$4:$D$39, 0)) - sum(IF(($S$3:$S$100=L4), $T$3:$T$100, 0))</f>
        <v>1835</v>
      </c>
      <c r="N4" s="322">
        <f>'Aug 25'!M4</f>
        <v>4145</v>
      </c>
      <c r="P4" s="315">
        <v>45895.0</v>
      </c>
      <c r="Q4" s="316" t="s">
        <v>119</v>
      </c>
      <c r="R4" s="316" t="s">
        <v>138</v>
      </c>
      <c r="S4" s="316" t="s">
        <v>51</v>
      </c>
      <c r="T4" s="316">
        <v>130.0</v>
      </c>
      <c r="U4" s="253"/>
      <c r="V4" s="136"/>
    </row>
    <row r="5">
      <c r="B5" s="317">
        <v>45895.0</v>
      </c>
      <c r="C5" s="108"/>
      <c r="D5" s="142">
        <v>1667.0</v>
      </c>
      <c r="E5" s="108" t="s">
        <v>143</v>
      </c>
      <c r="F5" s="174" t="s">
        <v>120</v>
      </c>
      <c r="H5" s="318" t="str">
        <f t="shared" si="1"/>
        <v>Wednesday</v>
      </c>
      <c r="I5" s="319">
        <v>45896.0</v>
      </c>
      <c r="J5" s="170">
        <f t="array" ref="J5">sum(IF(($P$3:$P$100=I5), $T$3:$T$100, 0))</f>
        <v>15</v>
      </c>
      <c r="L5" s="324" t="s">
        <v>120</v>
      </c>
      <c r="M5" s="325">
        <f t="array" ref="M5">N5 - sum(IF(($E$4:$E$49=L5), $D$4:$D$39 + $C$4:$C$39, 0)) + sum(IF(($F$4:$F$49=L5), $D$4:$D$39, 0)) - sum(IF(($S$3:$S$100=L5), $T$3:$T$100, 0))</f>
        <v>10371</v>
      </c>
      <c r="N5" s="326">
        <f>'Aug 25'!M5</f>
        <v>16704</v>
      </c>
      <c r="P5" s="315">
        <v>45896.0</v>
      </c>
      <c r="Q5" s="316" t="s">
        <v>131</v>
      </c>
      <c r="R5" s="316" t="s">
        <v>148</v>
      </c>
      <c r="S5" s="316" t="s">
        <v>51</v>
      </c>
      <c r="T5" s="316">
        <v>15.0</v>
      </c>
      <c r="U5" s="330"/>
      <c r="V5" s="136"/>
    </row>
    <row r="6">
      <c r="B6" s="317">
        <v>45900.0</v>
      </c>
      <c r="C6" s="108"/>
      <c r="D6" s="142">
        <v>30000.0</v>
      </c>
      <c r="E6" s="108" t="s">
        <v>120</v>
      </c>
      <c r="F6" s="174" t="s">
        <v>136</v>
      </c>
      <c r="H6" s="318" t="str">
        <f t="shared" si="1"/>
        <v>Thursday</v>
      </c>
      <c r="I6" s="319">
        <v>45897.0</v>
      </c>
      <c r="J6" s="170">
        <f t="array" ref="J6">sum(IF(($P$3:$P$100=I6), $T$3:$T$100, 0))</f>
        <v>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30176</v>
      </c>
      <c r="N6" s="326">
        <f>'Aug 25'!M6</f>
        <v>30176</v>
      </c>
      <c r="P6" s="315">
        <v>45895.0</v>
      </c>
      <c r="Q6" s="316" t="s">
        <v>114</v>
      </c>
      <c r="R6" s="316" t="s">
        <v>118</v>
      </c>
      <c r="S6" s="316" t="s">
        <v>136</v>
      </c>
      <c r="T6" s="316">
        <v>800.0</v>
      </c>
      <c r="U6" s="330" t="s">
        <v>210</v>
      </c>
      <c r="V6" s="136"/>
    </row>
    <row r="7">
      <c r="B7" s="317">
        <v>45902.0</v>
      </c>
      <c r="C7" s="142"/>
      <c r="D7" s="142">
        <v>1000.0</v>
      </c>
      <c r="E7" s="108" t="s">
        <v>120</v>
      </c>
      <c r="F7" s="174" t="s">
        <v>12</v>
      </c>
      <c r="H7" s="318" t="str">
        <f t="shared" si="1"/>
        <v>Friday</v>
      </c>
      <c r="I7" s="319">
        <v>45898.0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'Aug 25'!M7</f>
        <v>285</v>
      </c>
      <c r="P7" s="315">
        <v>45900.0</v>
      </c>
      <c r="Q7" s="316" t="s">
        <v>119</v>
      </c>
      <c r="R7" s="316" t="s">
        <v>142</v>
      </c>
      <c r="S7" s="316" t="s">
        <v>51</v>
      </c>
      <c r="T7" s="316">
        <f>225+75+20</f>
        <v>320</v>
      </c>
      <c r="U7" s="330" t="s">
        <v>211</v>
      </c>
      <c r="V7" s="136"/>
    </row>
    <row r="8">
      <c r="B8" s="317">
        <v>45900.0</v>
      </c>
      <c r="C8" s="108"/>
      <c r="D8" s="142">
        <v>20000.0</v>
      </c>
      <c r="E8" s="108" t="s">
        <v>136</v>
      </c>
      <c r="F8" s="174" t="s">
        <v>51</v>
      </c>
      <c r="H8" s="318" t="str">
        <f t="shared" si="1"/>
        <v>Saturday</v>
      </c>
      <c r="I8" s="319">
        <v>45899.0</v>
      </c>
      <c r="J8" s="170">
        <f t="array" ref="J8">sum(IF(($P$3:$P$100=I8), $T$3:$T$100, 0))</f>
        <v>275</v>
      </c>
      <c r="L8" s="331" t="s">
        <v>12</v>
      </c>
      <c r="M8" s="325">
        <f t="array" ref="M8">N8 - sum(IF(($E$4:$E$49=L8), $D$4:$D$39 + $C$4:$C$39, 0)) + sum(IF(($F$4:$F$49=L8), $D$4:$D$39, 0)) - sum(IF(($S$3:$S$100=L8), $T$3:$T$100, 0))</f>
        <v>681</v>
      </c>
      <c r="N8" s="326">
        <f>'Aug 25'!M8</f>
        <v>425</v>
      </c>
      <c r="P8" s="315">
        <v>45869.0</v>
      </c>
      <c r="Q8" s="316" t="s">
        <v>131</v>
      </c>
      <c r="R8" s="316" t="s">
        <v>23</v>
      </c>
      <c r="S8" s="316" t="s">
        <v>51</v>
      </c>
      <c r="T8" s="316">
        <v>250.0</v>
      </c>
      <c r="U8" s="330" t="s">
        <v>73</v>
      </c>
      <c r="V8" s="136"/>
    </row>
    <row r="9">
      <c r="B9" s="317">
        <v>45908.0</v>
      </c>
      <c r="C9" s="108"/>
      <c r="D9" s="108">
        <v>10000.0</v>
      </c>
      <c r="E9" s="108" t="s">
        <v>136</v>
      </c>
      <c r="F9" s="174" t="s">
        <v>51</v>
      </c>
      <c r="H9" s="318" t="str">
        <f t="shared" si="1"/>
        <v>Sunday</v>
      </c>
      <c r="I9" s="319">
        <v>45900.0</v>
      </c>
      <c r="J9" s="170">
        <f t="array" ref="J9">sum(IF(($P$3:$P$100=I9), $T$3:$T$100, 0))</f>
        <v>320</v>
      </c>
      <c r="L9" s="331" t="s">
        <v>65</v>
      </c>
      <c r="M9" s="325">
        <f t="array" ref="M9">N9 - sum(IF(($E$4:$E$49=L9), $D$4:$D$39 + $C$4:$C$39, 0)) + sum(IF(($F$4:$F$49=L9), $D$4:$D$39, 0)) - sum(IF(($S$3:$S$100=L9), $T$3:$T$100, 0))</f>
        <v>2</v>
      </c>
      <c r="N9" s="326">
        <f>'Aug 25'!M9</f>
        <v>2</v>
      </c>
      <c r="P9" s="315">
        <v>45901.0</v>
      </c>
      <c r="Q9" s="316" t="s">
        <v>123</v>
      </c>
      <c r="R9" s="316" t="s">
        <v>123</v>
      </c>
      <c r="S9" s="316" t="s">
        <v>51</v>
      </c>
      <c r="T9" s="316">
        <f>700+30</f>
        <v>730</v>
      </c>
      <c r="U9" s="330" t="s">
        <v>212</v>
      </c>
      <c r="V9" s="136"/>
    </row>
    <row r="10">
      <c r="B10" s="317">
        <v>45911.0</v>
      </c>
      <c r="C10" s="142"/>
      <c r="D10" s="142">
        <v>4000.0</v>
      </c>
      <c r="E10" s="108" t="s">
        <v>120</v>
      </c>
      <c r="F10" s="174" t="s">
        <v>136</v>
      </c>
      <c r="H10" s="318" t="str">
        <f t="shared" si="1"/>
        <v>Monday</v>
      </c>
      <c r="I10" s="319">
        <v>45901.0</v>
      </c>
      <c r="J10" s="170">
        <f t="array" ref="J10">sum(IF(($P$3:$P$100=I10), $T$3:$T$100, 0))</f>
        <v>7850</v>
      </c>
      <c r="L10" s="333" t="s">
        <v>137</v>
      </c>
      <c r="M10" s="374">
        <f>N10-10000</f>
        <v>120000</v>
      </c>
      <c r="N10" s="326">
        <f>'Aug 25'!M10</f>
        <v>130000</v>
      </c>
      <c r="P10" s="315">
        <v>45902.0</v>
      </c>
      <c r="Q10" s="316" t="s">
        <v>131</v>
      </c>
      <c r="R10" s="316" t="s">
        <v>148</v>
      </c>
      <c r="S10" s="316" t="s">
        <v>51</v>
      </c>
      <c r="T10" s="316">
        <v>15.0</v>
      </c>
      <c r="U10" s="330"/>
      <c r="V10" s="136"/>
    </row>
    <row r="11">
      <c r="B11" s="317">
        <v>45917.0</v>
      </c>
      <c r="C11" s="108"/>
      <c r="D11" s="142">
        <v>1000.0</v>
      </c>
      <c r="E11" s="108" t="s">
        <v>136</v>
      </c>
      <c r="F11" s="174" t="s">
        <v>12</v>
      </c>
      <c r="H11" s="318" t="str">
        <f t="shared" si="1"/>
        <v>Tuesday</v>
      </c>
      <c r="I11" s="319">
        <v>45902.0</v>
      </c>
      <c r="J11" s="170">
        <f t="array" ref="J11">sum(IF(($P$3:$P$100=I11), $T$3:$T$100, 0))</f>
        <v>1165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>'Aug 25'!M11</f>
        <v>5500</v>
      </c>
      <c r="P11" s="315">
        <v>45902.0</v>
      </c>
      <c r="Q11" s="316" t="s">
        <v>131</v>
      </c>
      <c r="R11" s="316" t="s">
        <v>23</v>
      </c>
      <c r="S11" s="316" t="s">
        <v>51</v>
      </c>
      <c r="T11" s="316">
        <f>100+60</f>
        <v>160</v>
      </c>
      <c r="U11" s="330" t="s">
        <v>73</v>
      </c>
      <c r="V11" s="136"/>
    </row>
    <row r="12">
      <c r="B12" s="317">
        <v>45923.0</v>
      </c>
      <c r="C12" s="108"/>
      <c r="D12" s="142">
        <v>1000.0</v>
      </c>
      <c r="E12" s="108" t="s">
        <v>136</v>
      </c>
      <c r="F12" s="174" t="s">
        <v>12</v>
      </c>
      <c r="H12" s="318" t="str">
        <f t="shared" si="1"/>
        <v>Wednesday</v>
      </c>
      <c r="I12" s="319">
        <v>45903.0</v>
      </c>
      <c r="J12" s="170">
        <f t="array" ref="J12">sum(IF(($P$3:$P$100=I12), $T$3:$T$100, 0))</f>
        <v>0</v>
      </c>
      <c r="L12" s="383" t="s">
        <v>136</v>
      </c>
      <c r="M12" s="384">
        <f t="array" ref="M12">N12 - sum(IF(($E$4:$E$49=L12), $D$4:$D$39 + $C$4:$C$39, 0)) + sum(IF(($F$4:$F$49=L12), $D$4:$D$39, 0)) - sum(IF(($S$3:$S$100=L12), $T$3:$T$100, 0))</f>
        <v>8062</v>
      </c>
      <c r="N12" s="326">
        <f>'Aug 25'!M12</f>
        <v>1332</v>
      </c>
      <c r="P12" s="315">
        <v>45902.0</v>
      </c>
      <c r="Q12" s="316" t="s">
        <v>131</v>
      </c>
      <c r="R12" s="316" t="s">
        <v>23</v>
      </c>
      <c r="S12" s="316" t="s">
        <v>12</v>
      </c>
      <c r="T12" s="316">
        <v>710.0</v>
      </c>
      <c r="U12" s="330" t="s">
        <v>73</v>
      </c>
      <c r="V12" s="136"/>
    </row>
    <row r="13">
      <c r="B13" s="317">
        <v>45923.0</v>
      </c>
      <c r="C13" s="108"/>
      <c r="D13" s="142">
        <v>10000.0</v>
      </c>
      <c r="E13" s="108" t="s">
        <v>120</v>
      </c>
      <c r="F13" s="174" t="s">
        <v>136</v>
      </c>
      <c r="H13" s="318" t="str">
        <f t="shared" si="1"/>
        <v>Thursday</v>
      </c>
      <c r="I13" s="319">
        <v>45904.0</v>
      </c>
      <c r="J13" s="170">
        <f t="array" ref="J13">sum(IF(($P$3:$P$100=I13), $T$3:$T$100, 0))</f>
        <v>2810</v>
      </c>
      <c r="L13" s="338"/>
      <c r="M13" s="339"/>
      <c r="N13" s="340"/>
      <c r="P13" s="315">
        <v>45902.0</v>
      </c>
      <c r="Q13" s="316" t="s">
        <v>123</v>
      </c>
      <c r="R13" s="316" t="s">
        <v>145</v>
      </c>
      <c r="S13" s="316" t="s">
        <v>51</v>
      </c>
      <c r="T13" s="316">
        <v>60.0</v>
      </c>
      <c r="U13" s="330"/>
      <c r="V13" s="136"/>
    </row>
    <row r="14">
      <c r="B14" s="317">
        <v>45923.0</v>
      </c>
      <c r="C14" s="108"/>
      <c r="D14" s="142">
        <v>2000.0</v>
      </c>
      <c r="E14" s="108" t="s">
        <v>136</v>
      </c>
      <c r="F14" s="174" t="s">
        <v>51</v>
      </c>
      <c r="H14" s="318" t="str">
        <f t="shared" si="1"/>
        <v>Friday</v>
      </c>
      <c r="I14" s="319">
        <v>45905.0</v>
      </c>
      <c r="J14" s="170">
        <f t="array" ref="J14">sum(IF(($P$3:$P$100=I14), $T$3:$T$100, 0))</f>
        <v>60</v>
      </c>
      <c r="P14" s="315">
        <v>45902.0</v>
      </c>
      <c r="Q14" s="316" t="s">
        <v>119</v>
      </c>
      <c r="R14" s="316" t="s">
        <v>142</v>
      </c>
      <c r="S14" s="316" t="s">
        <v>51</v>
      </c>
      <c r="T14" s="316">
        <v>200.0</v>
      </c>
      <c r="U14" s="330" t="s">
        <v>161</v>
      </c>
      <c r="V14" s="136"/>
    </row>
    <row r="15">
      <c r="B15" s="317"/>
      <c r="C15" s="108"/>
      <c r="D15" s="108"/>
      <c r="E15" s="108"/>
      <c r="F15" s="174"/>
      <c r="H15" s="318" t="str">
        <f t="shared" si="1"/>
        <v>Saturday</v>
      </c>
      <c r="I15" s="319">
        <v>45906.0</v>
      </c>
      <c r="J15" s="170">
        <f t="array" ref="J15">sum(IF(($P$3:$P$100=I15), $T$3:$T$100, 0))</f>
        <v>2230</v>
      </c>
      <c r="L15" s="137" t="s">
        <v>72</v>
      </c>
      <c r="M15" s="86"/>
      <c r="N15" s="138">
        <f>sum(N17:N22)</f>
        <v>0</v>
      </c>
      <c r="P15" s="315">
        <v>45902.0</v>
      </c>
      <c r="Q15" s="316" t="s">
        <v>123</v>
      </c>
      <c r="R15" s="316" t="s">
        <v>144</v>
      </c>
      <c r="S15" s="316" t="s">
        <v>51</v>
      </c>
      <c r="T15" s="316">
        <v>20.0</v>
      </c>
      <c r="U15" s="330"/>
      <c r="V15" s="136"/>
    </row>
    <row r="16">
      <c r="B16" s="317"/>
      <c r="C16" s="142"/>
      <c r="D16" s="142"/>
      <c r="E16" s="108"/>
      <c r="F16" s="174"/>
      <c r="H16" s="318" t="str">
        <f t="shared" si="1"/>
        <v>Sunday</v>
      </c>
      <c r="I16" s="319">
        <v>45907.0</v>
      </c>
      <c r="J16" s="170">
        <f t="array" ref="J16">sum(IF(($P$3:$P$100=I16), $T$3:$T$100, 0))</f>
        <v>115</v>
      </c>
      <c r="L16" s="139" t="s">
        <v>6</v>
      </c>
      <c r="M16" s="140" t="s">
        <v>74</v>
      </c>
      <c r="N16" s="141" t="s">
        <v>35</v>
      </c>
      <c r="P16" s="315">
        <v>45904.0</v>
      </c>
      <c r="Q16" s="316" t="s">
        <v>119</v>
      </c>
      <c r="R16" s="316" t="s">
        <v>142</v>
      </c>
      <c r="S16" s="316" t="s">
        <v>51</v>
      </c>
      <c r="T16" s="316">
        <v>680.0</v>
      </c>
      <c r="U16" s="330" t="s">
        <v>213</v>
      </c>
      <c r="V16" s="136"/>
    </row>
    <row r="17">
      <c r="B17" s="317"/>
      <c r="C17" s="108"/>
      <c r="D17" s="108"/>
      <c r="E17" s="108"/>
      <c r="F17" s="174"/>
      <c r="H17" s="318" t="str">
        <f t="shared" si="1"/>
        <v>Monday</v>
      </c>
      <c r="I17" s="319">
        <v>45908.0</v>
      </c>
      <c r="J17" s="170">
        <f t="array" ref="J17">sum(IF(($P$3:$P$100=I17), $T$3:$T$100, 0))</f>
        <v>995</v>
      </c>
      <c r="L17" s="143">
        <v>45774.0</v>
      </c>
      <c r="M17" s="132">
        <v>2500.0</v>
      </c>
      <c r="N17" s="103" t="s">
        <v>185</v>
      </c>
      <c r="P17" s="315">
        <v>45904.0</v>
      </c>
      <c r="Q17" s="316" t="s">
        <v>131</v>
      </c>
      <c r="R17" s="316" t="s">
        <v>131</v>
      </c>
      <c r="S17" s="316" t="s">
        <v>51</v>
      </c>
      <c r="T17" s="316">
        <v>350.0</v>
      </c>
      <c r="U17" s="330" t="s">
        <v>214</v>
      </c>
      <c r="V17" s="136"/>
    </row>
    <row r="18">
      <c r="B18" s="317"/>
      <c r="C18" s="108"/>
      <c r="D18" s="108"/>
      <c r="E18" s="108"/>
      <c r="F18" s="174"/>
      <c r="H18" s="318" t="str">
        <f t="shared" si="1"/>
        <v>Tuesday</v>
      </c>
      <c r="I18" s="319">
        <v>45909.0</v>
      </c>
      <c r="J18" s="170">
        <f t="array" ref="J18">sum(IF(($P$3:$P$100=I18), $T$3:$T$100, 0))</f>
        <v>3865</v>
      </c>
      <c r="L18" s="143"/>
      <c r="M18" s="132">
        <v>3000.0</v>
      </c>
      <c r="N18" s="103" t="s">
        <v>187</v>
      </c>
      <c r="P18" s="315">
        <v>45904.0</v>
      </c>
      <c r="Q18" s="316" t="s">
        <v>119</v>
      </c>
      <c r="R18" s="316" t="s">
        <v>135</v>
      </c>
      <c r="S18" s="316" t="s">
        <v>51</v>
      </c>
      <c r="T18" s="316">
        <f>550+430</f>
        <v>980</v>
      </c>
      <c r="U18" s="330" t="s">
        <v>215</v>
      </c>
      <c r="V18" s="136"/>
    </row>
    <row r="19">
      <c r="B19" s="317"/>
      <c r="C19" s="112"/>
      <c r="D19" s="108"/>
      <c r="E19" s="108"/>
      <c r="F19" s="174"/>
      <c r="H19" s="318" t="str">
        <f t="shared" si="1"/>
        <v>Wednesday</v>
      </c>
      <c r="I19" s="319">
        <v>45910.0</v>
      </c>
      <c r="J19" s="170">
        <f t="array" ref="J19">sum(IF(($P$3:$P$100=I19), $T$3:$T$100, 0))</f>
        <v>14895</v>
      </c>
      <c r="L19" s="148"/>
      <c r="M19" s="132"/>
      <c r="N19" s="103"/>
      <c r="P19" s="315">
        <v>45904.0</v>
      </c>
      <c r="Q19" s="316" t="s">
        <v>119</v>
      </c>
      <c r="R19" s="316" t="s">
        <v>138</v>
      </c>
      <c r="S19" s="316" t="s">
        <v>51</v>
      </c>
      <c r="T19" s="316">
        <v>300.0</v>
      </c>
      <c r="U19" s="330" t="s">
        <v>204</v>
      </c>
      <c r="V19" s="136"/>
    </row>
    <row r="20">
      <c r="B20" s="317"/>
      <c r="C20" s="142"/>
      <c r="D20" s="142"/>
      <c r="E20" s="108"/>
      <c r="F20" s="174"/>
      <c r="H20" s="318" t="str">
        <f t="shared" si="1"/>
        <v>Thursday</v>
      </c>
      <c r="I20" s="319">
        <v>45911.0</v>
      </c>
      <c r="J20" s="170">
        <f t="array" ref="J20">sum(IF(($P$3:$P$100=I20), $T$3:$T$100, 0))</f>
        <v>2565</v>
      </c>
      <c r="L20" s="148"/>
      <c r="M20" s="132"/>
      <c r="N20" s="185"/>
      <c r="P20" s="315">
        <v>45904.0</v>
      </c>
      <c r="Q20" s="316" t="s">
        <v>114</v>
      </c>
      <c r="R20" s="316" t="s">
        <v>118</v>
      </c>
      <c r="S20" s="316" t="s">
        <v>51</v>
      </c>
      <c r="T20" s="316">
        <v>500.0</v>
      </c>
      <c r="U20" s="330" t="s">
        <v>216</v>
      </c>
      <c r="V20" s="136"/>
    </row>
    <row r="21">
      <c r="B21" s="317"/>
      <c r="C21" s="108"/>
      <c r="D21" s="108"/>
      <c r="E21" s="108"/>
      <c r="F21" s="174"/>
      <c r="H21" s="318" t="str">
        <f t="shared" si="1"/>
        <v>Friday</v>
      </c>
      <c r="I21" s="319">
        <v>45912.0</v>
      </c>
      <c r="J21" s="170">
        <f t="array" ref="J21">sum(IF(($P$3:$P$100=I21), $T$3:$T$100, 0))</f>
        <v>0</v>
      </c>
      <c r="L21" s="112"/>
      <c r="M21" s="102"/>
      <c r="N21" s="48"/>
      <c r="P21" s="315">
        <v>45905.0</v>
      </c>
      <c r="Q21" s="316" t="s">
        <v>26</v>
      </c>
      <c r="R21" s="316" t="s">
        <v>26</v>
      </c>
      <c r="S21" s="316" t="s">
        <v>51</v>
      </c>
      <c r="T21" s="316">
        <v>20.0</v>
      </c>
      <c r="U21" s="330"/>
      <c r="V21" s="136"/>
    </row>
    <row r="22">
      <c r="B22" s="317"/>
      <c r="C22" s="112"/>
      <c r="D22" s="108"/>
      <c r="E22" s="108"/>
      <c r="F22" s="174"/>
      <c r="H22" s="318" t="str">
        <f t="shared" si="1"/>
        <v>Saturday</v>
      </c>
      <c r="I22" s="319">
        <v>45913.0</v>
      </c>
      <c r="J22" s="170">
        <f t="array" ref="J22">sum(IF(($P$3:$P$100=I22), $T$3:$T$100, 0))</f>
        <v>0</v>
      </c>
      <c r="L22" s="127"/>
      <c r="M22" s="133"/>
      <c r="N22" s="68"/>
      <c r="P22" s="315">
        <v>45905.0</v>
      </c>
      <c r="Q22" s="316" t="s">
        <v>131</v>
      </c>
      <c r="R22" s="316" t="s">
        <v>23</v>
      </c>
      <c r="S22" s="316" t="s">
        <v>51</v>
      </c>
      <c r="T22" s="316">
        <v>40.0</v>
      </c>
      <c r="U22" s="330"/>
      <c r="V22" s="136"/>
    </row>
    <row r="23">
      <c r="B23" s="317"/>
      <c r="C23" s="108"/>
      <c r="D23" s="108"/>
      <c r="E23" s="108"/>
      <c r="F23" s="174"/>
      <c r="H23" s="318" t="str">
        <f t="shared" si="1"/>
        <v>Sunday</v>
      </c>
      <c r="I23" s="319">
        <v>45914.0</v>
      </c>
      <c r="J23" s="170">
        <f t="array" ref="J23">sum(IF(($P$3:$P$100=I23), $T$3:$T$100, 0))</f>
        <v>745</v>
      </c>
      <c r="P23" s="315">
        <v>45906.0</v>
      </c>
      <c r="Q23" s="316" t="s">
        <v>123</v>
      </c>
      <c r="R23" s="316" t="s">
        <v>145</v>
      </c>
      <c r="S23" s="316" t="s">
        <v>51</v>
      </c>
      <c r="T23" s="316">
        <v>750.0</v>
      </c>
      <c r="U23" s="330" t="s">
        <v>217</v>
      </c>
      <c r="V23" s="136"/>
    </row>
    <row r="24">
      <c r="B24" s="317"/>
      <c r="C24" s="108"/>
      <c r="D24" s="108"/>
      <c r="E24" s="108"/>
      <c r="F24" s="174"/>
      <c r="H24" s="318" t="str">
        <f t="shared" si="1"/>
        <v>Monday</v>
      </c>
      <c r="I24" s="319">
        <v>45915.0</v>
      </c>
      <c r="J24" s="170">
        <f t="array" ref="J24">sum(IF(($P$3:$P$100=I24), $T$3:$T$100, 0))</f>
        <v>1015</v>
      </c>
      <c r="L24" s="137" t="s">
        <v>84</v>
      </c>
      <c r="M24" s="86"/>
      <c r="N24" s="138">
        <f>sum(N26:N31)</f>
        <v>0</v>
      </c>
      <c r="P24" s="315">
        <v>45906.0</v>
      </c>
      <c r="Q24" s="316" t="s">
        <v>119</v>
      </c>
      <c r="R24" s="316" t="s">
        <v>142</v>
      </c>
      <c r="S24" s="316" t="s">
        <v>51</v>
      </c>
      <c r="T24" s="316">
        <v>100.0</v>
      </c>
      <c r="U24" s="330" t="s">
        <v>218</v>
      </c>
      <c r="V24" s="136"/>
    </row>
    <row r="25">
      <c r="B25" s="317"/>
      <c r="C25" s="112"/>
      <c r="D25" s="112"/>
      <c r="E25" s="108"/>
      <c r="F25" s="174"/>
      <c r="H25" s="318" t="str">
        <f t="shared" si="1"/>
        <v>Tuesday</v>
      </c>
      <c r="I25" s="319">
        <v>45916.0</v>
      </c>
      <c r="J25" s="170">
        <f t="array" ref="J25">sum(IF(($P$3:$P$100=I25), $T$3:$T$100, 0))</f>
        <v>0</v>
      </c>
      <c r="L25" s="139" t="s">
        <v>6</v>
      </c>
      <c r="M25" s="140" t="s">
        <v>85</v>
      </c>
      <c r="N25" s="141" t="s">
        <v>35</v>
      </c>
      <c r="P25" s="315">
        <v>45906.0</v>
      </c>
      <c r="Q25" s="316" t="s">
        <v>119</v>
      </c>
      <c r="R25" s="316" t="s">
        <v>135</v>
      </c>
      <c r="S25" s="316" t="s">
        <v>51</v>
      </c>
      <c r="T25" s="316">
        <f>1300+20</f>
        <v>1320</v>
      </c>
      <c r="U25" s="330" t="s">
        <v>219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Wednesday</v>
      </c>
      <c r="I26" s="319">
        <v>45917.0</v>
      </c>
      <c r="J26" s="170">
        <f t="array" ref="J26">sum(IF(($P$3:$P$100=I26), $T$3:$T$100, 0))</f>
        <v>840</v>
      </c>
      <c r="L26" s="152"/>
      <c r="M26" s="47"/>
      <c r="N26" s="48"/>
      <c r="P26" s="315">
        <v>45906.0</v>
      </c>
      <c r="Q26" s="316" t="s">
        <v>119</v>
      </c>
      <c r="R26" s="316" t="s">
        <v>138</v>
      </c>
      <c r="S26" s="316" t="s">
        <v>51</v>
      </c>
      <c r="T26" s="316">
        <v>60.0</v>
      </c>
      <c r="U26" s="330"/>
      <c r="V26" s="136"/>
    </row>
    <row r="27">
      <c r="B27" s="317"/>
      <c r="C27" s="112"/>
      <c r="D27" s="112"/>
      <c r="E27" s="108"/>
      <c r="F27" s="174"/>
      <c r="H27" s="318" t="str">
        <f t="shared" si="1"/>
        <v>Thursday</v>
      </c>
      <c r="I27" s="319">
        <v>45918.0</v>
      </c>
      <c r="J27" s="170">
        <f t="array" ref="J27">sum(IF(($P$3:$P$100=I27), $T$3:$T$100, 0))</f>
        <v>0</v>
      </c>
      <c r="L27" s="152"/>
      <c r="M27" s="47"/>
      <c r="N27" s="48"/>
      <c r="P27" s="315">
        <v>45907.0</v>
      </c>
      <c r="Q27" s="316" t="s">
        <v>131</v>
      </c>
      <c r="R27" s="316" t="s">
        <v>148</v>
      </c>
      <c r="S27" s="316" t="s">
        <v>51</v>
      </c>
      <c r="T27" s="316">
        <v>15.0</v>
      </c>
      <c r="U27" s="330"/>
      <c r="V27" s="136"/>
    </row>
    <row r="28">
      <c r="B28" s="317"/>
      <c r="C28" s="112"/>
      <c r="D28" s="112"/>
      <c r="E28" s="108"/>
      <c r="F28" s="174"/>
      <c r="H28" s="318" t="str">
        <f t="shared" si="1"/>
        <v>Friday</v>
      </c>
      <c r="I28" s="319">
        <v>45919.0</v>
      </c>
      <c r="J28" s="170">
        <f t="array" ref="J28">sum(IF(($P$3:$P$100=I28), $T$3:$T$100, 0))</f>
        <v>0</v>
      </c>
      <c r="L28" s="152"/>
      <c r="M28" s="47"/>
      <c r="N28" s="48"/>
      <c r="P28" s="315">
        <v>45907.0</v>
      </c>
      <c r="Q28" s="316" t="s">
        <v>119</v>
      </c>
      <c r="R28" s="316" t="s">
        <v>138</v>
      </c>
      <c r="S28" s="316" t="s">
        <v>51</v>
      </c>
      <c r="T28" s="316">
        <v>70.0</v>
      </c>
      <c r="U28" s="330"/>
      <c r="V28" s="136"/>
    </row>
    <row r="29">
      <c r="B29" s="317"/>
      <c r="C29" s="108"/>
      <c r="D29" s="108"/>
      <c r="E29" s="108"/>
      <c r="F29" s="174"/>
      <c r="H29" s="318" t="str">
        <f t="shared" si="1"/>
        <v>Saturday</v>
      </c>
      <c r="I29" s="319">
        <v>45920.0</v>
      </c>
      <c r="J29" s="170">
        <f t="array" ref="J29">sum(IF(($P$3:$P$100=I29), $T$3:$T$100, 0))</f>
        <v>500</v>
      </c>
      <c r="L29" s="152"/>
      <c r="M29" s="47"/>
      <c r="N29" s="48"/>
      <c r="P29" s="315">
        <v>45907.0</v>
      </c>
      <c r="Q29" s="316" t="s">
        <v>119</v>
      </c>
      <c r="R29" s="316" t="s">
        <v>135</v>
      </c>
      <c r="S29" s="316" t="s">
        <v>51</v>
      </c>
      <c r="T29" s="316">
        <v>30.0</v>
      </c>
      <c r="U29" s="330"/>
      <c r="V29" s="136"/>
    </row>
    <row r="30">
      <c r="B30" s="317"/>
      <c r="C30" s="112"/>
      <c r="D30" s="112"/>
      <c r="E30" s="108"/>
      <c r="F30" s="174"/>
      <c r="H30" s="318" t="str">
        <f t="shared" si="1"/>
        <v>Sunday</v>
      </c>
      <c r="I30" s="319">
        <v>45921.0</v>
      </c>
      <c r="J30" s="170">
        <f t="array" ref="J30">sum(IF(($P$3:$P$100=I30), $T$3:$T$100, 0))</f>
        <v>438</v>
      </c>
      <c r="L30" s="152"/>
      <c r="M30" s="47"/>
      <c r="N30" s="48"/>
      <c r="P30" s="315">
        <v>45908.0</v>
      </c>
      <c r="Q30" s="316" t="s">
        <v>131</v>
      </c>
      <c r="R30" s="316" t="s">
        <v>148</v>
      </c>
      <c r="S30" s="316" t="s">
        <v>51</v>
      </c>
      <c r="T30" s="316">
        <v>15.0</v>
      </c>
      <c r="U30" s="330"/>
      <c r="V30" s="136"/>
    </row>
    <row r="31">
      <c r="B31" s="317"/>
      <c r="C31" s="108"/>
      <c r="D31" s="108"/>
      <c r="E31" s="108"/>
      <c r="F31" s="174"/>
      <c r="H31" s="318" t="str">
        <f t="shared" si="1"/>
        <v>Monday</v>
      </c>
      <c r="I31" s="319">
        <v>45922.0</v>
      </c>
      <c r="J31" s="170">
        <f t="array" ref="J31">sum(IF(($P$3:$P$100=I31), $T$3:$T$100, 0))</f>
        <v>0</v>
      </c>
      <c r="L31" s="153"/>
      <c r="M31" s="154"/>
      <c r="N31" s="68"/>
      <c r="P31" s="315">
        <v>45908.0</v>
      </c>
      <c r="Q31" s="316" t="s">
        <v>123</v>
      </c>
      <c r="R31" s="316" t="s">
        <v>144</v>
      </c>
      <c r="S31" s="316" t="s">
        <v>51</v>
      </c>
      <c r="T31" s="316">
        <f>350+130</f>
        <v>480</v>
      </c>
      <c r="U31" s="330" t="s">
        <v>220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Tuesday</v>
      </c>
      <c r="I32" s="319">
        <v>45923.0</v>
      </c>
      <c r="J32" s="170">
        <f t="array" ref="J32">sum(IF(($P$3:$P$100=I32), $T$3:$T$100, 0))</f>
        <v>826</v>
      </c>
      <c r="P32" s="315">
        <v>45908.0</v>
      </c>
      <c r="Q32" s="316" t="s">
        <v>123</v>
      </c>
      <c r="R32" s="316" t="s">
        <v>145</v>
      </c>
      <c r="S32" s="316" t="s">
        <v>51</v>
      </c>
      <c r="T32" s="316">
        <v>500.0</v>
      </c>
      <c r="U32" s="330" t="s">
        <v>221</v>
      </c>
      <c r="V32" s="136"/>
    </row>
    <row r="33">
      <c r="B33" s="317"/>
      <c r="C33" s="108"/>
      <c r="D33" s="108"/>
      <c r="E33" s="108"/>
      <c r="F33" s="174"/>
      <c r="H33" s="318" t="str">
        <f t="shared" si="1"/>
        <v>Wednesday</v>
      </c>
      <c r="I33" s="319">
        <v>45924.0</v>
      </c>
      <c r="J33" s="170">
        <f t="array" ref="J33">sum(IF(($P$3:$P$100=I33), $T$3:$T$100, 0))</f>
        <v>0</v>
      </c>
      <c r="L33" s="137"/>
      <c r="M33" s="86"/>
      <c r="N33" s="138">
        <f>sum(N35:N40)</f>
        <v>0</v>
      </c>
      <c r="P33" s="315">
        <v>45909.0</v>
      </c>
      <c r="Q33" s="316" t="s">
        <v>131</v>
      </c>
      <c r="R33" s="316" t="s">
        <v>23</v>
      </c>
      <c r="S33" s="316" t="s">
        <v>51</v>
      </c>
      <c r="T33" s="316">
        <f>700+200</f>
        <v>900</v>
      </c>
      <c r="U33" s="330" t="s">
        <v>73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Thursday</v>
      </c>
      <c r="I34" s="319">
        <v>45925.0</v>
      </c>
      <c r="J34" s="170">
        <f t="array" ref="J34">sum(IF(($P$3:$P$100=I34), $T$3:$T$100, 0))</f>
        <v>30</v>
      </c>
      <c r="L34" s="139"/>
      <c r="M34" s="140"/>
      <c r="N34" s="141"/>
      <c r="P34" s="315">
        <v>45910.0</v>
      </c>
      <c r="Q34" s="316" t="s">
        <v>114</v>
      </c>
      <c r="R34" s="316" t="s">
        <v>115</v>
      </c>
      <c r="S34" s="316" t="s">
        <v>51</v>
      </c>
      <c r="T34" s="316">
        <v>13000.0</v>
      </c>
      <c r="U34" s="330"/>
      <c r="V34" s="136"/>
    </row>
    <row r="35">
      <c r="B35" s="317"/>
      <c r="C35" s="112"/>
      <c r="D35" s="112"/>
      <c r="E35" s="108"/>
      <c r="F35" s="174"/>
      <c r="H35" s="318" t="str">
        <f t="shared" si="1"/>
        <v>Friday</v>
      </c>
      <c r="I35" s="319">
        <v>45926.0</v>
      </c>
      <c r="J35" s="170">
        <f t="array" ref="J35">sum(IF(($P$3:$P$100=I35), $T$3:$T$100, 0))</f>
        <v>0</v>
      </c>
      <c r="L35" s="293"/>
      <c r="M35" s="316"/>
      <c r="N35" s="341"/>
      <c r="P35" s="315">
        <v>45910.0</v>
      </c>
      <c r="Q35" s="316" t="s">
        <v>114</v>
      </c>
      <c r="R35" s="316" t="s">
        <v>126</v>
      </c>
      <c r="S35" s="316" t="s">
        <v>51</v>
      </c>
      <c r="T35" s="316">
        <v>1080.0</v>
      </c>
      <c r="U35" s="330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315">
        <v>45910.0</v>
      </c>
      <c r="Q36" s="316" t="s">
        <v>114</v>
      </c>
      <c r="R36" s="316" t="s">
        <v>133</v>
      </c>
      <c r="S36" s="316" t="s">
        <v>51</v>
      </c>
      <c r="T36" s="316">
        <v>800.0</v>
      </c>
      <c r="U36" s="330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315">
        <v>45901.0</v>
      </c>
      <c r="Q37" s="316" t="s">
        <v>119</v>
      </c>
      <c r="R37" s="316" t="s">
        <v>141</v>
      </c>
      <c r="S37" s="316" t="s">
        <v>51</v>
      </c>
      <c r="T37" s="316">
        <f>5000+120+2000</f>
        <v>7120</v>
      </c>
      <c r="U37" s="330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315">
        <v>45899.0</v>
      </c>
      <c r="Q38" s="316" t="s">
        <v>127</v>
      </c>
      <c r="R38" s="316" t="s">
        <v>147</v>
      </c>
      <c r="S38" s="316" t="s">
        <v>12</v>
      </c>
      <c r="T38" s="316">
        <f>275</f>
        <v>275</v>
      </c>
      <c r="U38" s="398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/>
      <c r="M39" s="289"/>
      <c r="N39" s="128"/>
      <c r="P39" s="315">
        <v>45909.0</v>
      </c>
      <c r="Q39" s="316" t="s">
        <v>127</v>
      </c>
      <c r="R39" s="316" t="s">
        <v>146</v>
      </c>
      <c r="S39" s="316" t="s">
        <v>12</v>
      </c>
      <c r="T39" s="316">
        <f>30+30+30+30</f>
        <v>120</v>
      </c>
      <c r="U39" s="330"/>
      <c r="V39" s="136"/>
    </row>
    <row r="40">
      <c r="P40" s="399">
        <v>45909.0</v>
      </c>
      <c r="Q40" s="316" t="s">
        <v>26</v>
      </c>
      <c r="R40" s="316" t="s">
        <v>151</v>
      </c>
      <c r="S40" s="316" t="s">
        <v>51</v>
      </c>
      <c r="T40" s="316">
        <v>345.0</v>
      </c>
      <c r="U40" s="398" t="s">
        <v>222</v>
      </c>
      <c r="V40" s="136"/>
    </row>
    <row r="41">
      <c r="P41" s="315">
        <v>45909.0</v>
      </c>
      <c r="Q41" s="316" t="s">
        <v>134</v>
      </c>
      <c r="R41" s="316" t="s">
        <v>116</v>
      </c>
      <c r="S41" s="316" t="s">
        <v>120</v>
      </c>
      <c r="T41" s="316">
        <v>2500.0</v>
      </c>
      <c r="U41" s="253"/>
      <c r="V41" s="136"/>
    </row>
    <row r="42">
      <c r="B42" s="347" t="s">
        <v>173</v>
      </c>
      <c r="C42" s="86"/>
      <c r="D42" s="86"/>
      <c r="E42" s="86"/>
      <c r="F42" s="86"/>
      <c r="G42" s="86"/>
      <c r="H42" s="86"/>
      <c r="I42" s="86"/>
      <c r="J42" s="86"/>
      <c r="K42" s="81"/>
      <c r="P42" s="315">
        <v>45910.0</v>
      </c>
      <c r="Q42" s="316" t="s">
        <v>131</v>
      </c>
      <c r="R42" s="316" t="s">
        <v>148</v>
      </c>
      <c r="S42" s="316" t="s">
        <v>51</v>
      </c>
      <c r="T42" s="316">
        <v>15.0</v>
      </c>
      <c r="U42" s="253"/>
      <c r="V42" s="136"/>
    </row>
    <row r="43">
      <c r="B43" s="348"/>
      <c r="C43" s="94"/>
      <c r="D43" s="94"/>
      <c r="E43" s="94"/>
      <c r="F43" s="94"/>
      <c r="G43" s="94"/>
      <c r="H43" s="94"/>
      <c r="I43" s="94"/>
      <c r="J43" s="94"/>
      <c r="K43" s="93"/>
      <c r="P43" s="315">
        <v>45911.0</v>
      </c>
      <c r="Q43" s="316" t="s">
        <v>131</v>
      </c>
      <c r="R43" s="316" t="s">
        <v>148</v>
      </c>
      <c r="S43" s="316" t="s">
        <v>51</v>
      </c>
      <c r="T43" s="316">
        <v>15.0</v>
      </c>
      <c r="U43" s="330"/>
      <c r="V43" s="136"/>
    </row>
    <row r="44">
      <c r="B44" s="349" t="s">
        <v>107</v>
      </c>
      <c r="C44" s="158"/>
      <c r="D44" s="159"/>
      <c r="E44" s="350" t="s">
        <v>43</v>
      </c>
      <c r="F44" s="351" t="s">
        <v>108</v>
      </c>
      <c r="G44" s="158"/>
      <c r="H44" s="159"/>
      <c r="I44" s="350" t="s">
        <v>43</v>
      </c>
      <c r="J44" s="352" t="s">
        <v>4</v>
      </c>
      <c r="K44" s="159"/>
      <c r="L44" s="386" t="s">
        <v>206</v>
      </c>
      <c r="P44" s="315">
        <v>45911.0</v>
      </c>
      <c r="Q44" s="316" t="s">
        <v>123</v>
      </c>
      <c r="R44" s="316" t="s">
        <v>144</v>
      </c>
      <c r="S44" s="316" t="s">
        <v>51</v>
      </c>
      <c r="T44" s="316">
        <v>60.0</v>
      </c>
      <c r="U44" s="253"/>
      <c r="V44" s="136"/>
    </row>
    <row r="45">
      <c r="B45" s="387" t="s">
        <v>114</v>
      </c>
      <c r="C45" s="86"/>
      <c r="D45" s="81"/>
      <c r="E45" s="388">
        <f>Sum(I45:I50)</f>
        <v>16970</v>
      </c>
      <c r="F45" s="389" t="str">
        <f t="array" ref="F45:F73">INDIRECT("Subcategory")</f>
        <v>HouseRent</v>
      </c>
      <c r="G45" s="86"/>
      <c r="H45" s="81"/>
      <c r="I45" s="350">
        <v>13000.0</v>
      </c>
      <c r="J45" s="390">
        <f t="array" ref="J45">sum(IF(($R$3:$R$100=F45), $T$3:$T$100, 0))</f>
        <v>13000</v>
      </c>
      <c r="K45" s="159"/>
      <c r="L45" s="356">
        <f>sum(J45:J50)</f>
        <v>17461</v>
      </c>
      <c r="M45" s="298">
        <f>I45+I48+I50</f>
        <v>14880</v>
      </c>
      <c r="P45" s="315">
        <v>45911.0</v>
      </c>
      <c r="Q45" s="316" t="s">
        <v>119</v>
      </c>
      <c r="R45" s="316" t="s">
        <v>142</v>
      </c>
      <c r="S45" s="316" t="s">
        <v>51</v>
      </c>
      <c r="T45" s="316">
        <v>20.0</v>
      </c>
      <c r="U45" s="253"/>
      <c r="V45" s="136"/>
    </row>
    <row r="46">
      <c r="B46" s="358"/>
      <c r="D46" s="359"/>
      <c r="E46" s="360"/>
      <c r="F46" s="391" t="s">
        <v>118</v>
      </c>
      <c r="H46" s="359"/>
      <c r="I46" s="380">
        <v>800.0</v>
      </c>
      <c r="J46" s="390">
        <f t="array" ref="J46">sum(IF(($R$3:$R$100=F46), $T$3:$T$100, 0))</f>
        <v>1300</v>
      </c>
      <c r="K46" s="159"/>
      <c r="L46" s="360"/>
      <c r="P46" s="315">
        <v>45911.0</v>
      </c>
      <c r="Q46" s="316" t="s">
        <v>131</v>
      </c>
      <c r="R46" s="316" t="s">
        <v>131</v>
      </c>
      <c r="S46" s="316" t="s">
        <v>136</v>
      </c>
      <c r="T46" s="316">
        <v>2470.0</v>
      </c>
      <c r="U46" s="253"/>
      <c r="V46" s="136"/>
    </row>
    <row r="47">
      <c r="B47" s="358"/>
      <c r="D47" s="359"/>
      <c r="E47" s="360"/>
      <c r="F47" s="391" t="s">
        <v>122</v>
      </c>
      <c r="H47" s="359"/>
      <c r="I47" s="380">
        <v>450.0</v>
      </c>
      <c r="J47" s="390">
        <f t="array" ref="J47">sum(IF(($R$3:$R$100=F47), $T$3:$T$100, 0))</f>
        <v>441</v>
      </c>
      <c r="K47" s="159"/>
      <c r="L47" s="360"/>
      <c r="P47" s="315">
        <v>45914.0</v>
      </c>
      <c r="Q47" s="316" t="s">
        <v>131</v>
      </c>
      <c r="R47" s="316" t="s">
        <v>148</v>
      </c>
      <c r="S47" s="316" t="s">
        <v>51</v>
      </c>
      <c r="T47" s="316">
        <v>15.0</v>
      </c>
      <c r="U47" s="253"/>
      <c r="V47" s="136"/>
    </row>
    <row r="48">
      <c r="B48" s="358"/>
      <c r="D48" s="359"/>
      <c r="E48" s="360"/>
      <c r="F48" s="391" t="s">
        <v>126</v>
      </c>
      <c r="H48" s="359"/>
      <c r="I48" s="350">
        <v>1080.0</v>
      </c>
      <c r="J48" s="390">
        <f t="array" ref="J48">sum(IF(($R$3:$R$100=F48), $T$3:$T$100, 0))</f>
        <v>1080</v>
      </c>
      <c r="K48" s="159"/>
      <c r="L48" s="360"/>
      <c r="P48" s="315">
        <v>45914.0</v>
      </c>
      <c r="Q48" s="316" t="s">
        <v>123</v>
      </c>
      <c r="R48" s="316" t="s">
        <v>123</v>
      </c>
      <c r="S48" s="316" t="s">
        <v>51</v>
      </c>
      <c r="T48" s="316">
        <v>150.0</v>
      </c>
      <c r="U48" s="330"/>
      <c r="V48" s="136"/>
    </row>
    <row r="49">
      <c r="B49" s="358"/>
      <c r="D49" s="359"/>
      <c r="E49" s="360"/>
      <c r="F49" s="391" t="s">
        <v>130</v>
      </c>
      <c r="H49" s="359"/>
      <c r="I49" s="380">
        <v>840.0</v>
      </c>
      <c r="J49" s="390">
        <f t="array" ref="J49">sum(IF(($R$3:$R$100=F49), $T$3:$T$100, 0))</f>
        <v>840</v>
      </c>
      <c r="K49" s="159"/>
      <c r="L49" s="360"/>
      <c r="P49" s="315">
        <v>45914.0</v>
      </c>
      <c r="Q49" s="316" t="s">
        <v>123</v>
      </c>
      <c r="R49" s="316" t="s">
        <v>144</v>
      </c>
      <c r="S49" s="316" t="s">
        <v>51</v>
      </c>
      <c r="T49" s="316">
        <v>180.0</v>
      </c>
      <c r="U49" s="253"/>
      <c r="V49" s="136"/>
    </row>
    <row r="50">
      <c r="B50" s="348"/>
      <c r="C50" s="94"/>
      <c r="D50" s="93"/>
      <c r="E50" s="14"/>
      <c r="F50" s="392" t="s">
        <v>133</v>
      </c>
      <c r="G50" s="94"/>
      <c r="H50" s="93"/>
      <c r="I50" s="350">
        <f>200+600</f>
        <v>800</v>
      </c>
      <c r="J50" s="390">
        <f t="array" ref="J50">sum(IF(($R$3:$R$100=F50), $T$3:$T$100, 0))</f>
        <v>800</v>
      </c>
      <c r="K50" s="159"/>
      <c r="L50" s="14"/>
      <c r="P50" s="315">
        <v>45914.0</v>
      </c>
      <c r="Q50" s="316" t="s">
        <v>131</v>
      </c>
      <c r="R50" s="316" t="s">
        <v>145</v>
      </c>
      <c r="S50" s="316" t="s">
        <v>51</v>
      </c>
      <c r="T50" s="316">
        <v>400.0</v>
      </c>
      <c r="U50" s="253"/>
      <c r="V50" s="136"/>
    </row>
    <row r="51">
      <c r="B51" s="353" t="s">
        <v>119</v>
      </c>
      <c r="C51" s="86"/>
      <c r="D51" s="81"/>
      <c r="E51" s="356">
        <f>Sum(I51:I54)</f>
        <v>12000</v>
      </c>
      <c r="F51" s="355" t="s">
        <v>135</v>
      </c>
      <c r="G51" s="86"/>
      <c r="H51" s="81"/>
      <c r="I51" s="378">
        <v>3000.0</v>
      </c>
      <c r="J51" s="379">
        <f t="array" ref="J51">sum(IF(($R$3:$R$100=F51), $T$3:$T$100, 0))</f>
        <v>2330</v>
      </c>
      <c r="K51" s="159"/>
      <c r="L51" s="356">
        <f>sum(J51:J54)</f>
        <v>12920</v>
      </c>
      <c r="P51" s="315">
        <v>45915.0</v>
      </c>
      <c r="Q51" s="316" t="s">
        <v>131</v>
      </c>
      <c r="R51" s="316" t="s">
        <v>148</v>
      </c>
      <c r="S51" s="316" t="s">
        <v>51</v>
      </c>
      <c r="T51" s="316">
        <v>15.0</v>
      </c>
      <c r="U51" s="253"/>
      <c r="V51" s="136"/>
    </row>
    <row r="52">
      <c r="B52" s="358"/>
      <c r="D52" s="359"/>
      <c r="E52" s="360"/>
      <c r="F52" s="361" t="s">
        <v>138</v>
      </c>
      <c r="H52" s="359"/>
      <c r="I52" s="378">
        <v>1000.0</v>
      </c>
      <c r="J52" s="379">
        <f t="array" ref="J52">sum(IF(($R$3:$R$100=F52), $T$3:$T$100, 0))</f>
        <v>650</v>
      </c>
      <c r="K52" s="159"/>
      <c r="L52" s="360"/>
      <c r="P52" s="315">
        <v>45915.0</v>
      </c>
      <c r="Q52" s="316" t="s">
        <v>119</v>
      </c>
      <c r="R52" s="316" t="s">
        <v>141</v>
      </c>
      <c r="S52" s="316" t="s">
        <v>51</v>
      </c>
      <c r="T52" s="316">
        <v>1000.0</v>
      </c>
      <c r="U52" s="253"/>
      <c r="V52" s="136"/>
    </row>
    <row r="53">
      <c r="B53" s="358"/>
      <c r="D53" s="359"/>
      <c r="E53" s="360"/>
      <c r="F53" s="361" t="s">
        <v>141</v>
      </c>
      <c r="H53" s="359"/>
      <c r="I53" s="378">
        <v>6000.0</v>
      </c>
      <c r="J53" s="379">
        <f t="array" ref="J53">sum(IF(($R$3:$R$100=F53), $T$3:$T$100, 0))</f>
        <v>8620</v>
      </c>
      <c r="K53" s="159"/>
      <c r="L53" s="360"/>
      <c r="P53" s="315">
        <v>45917.0</v>
      </c>
      <c r="Q53" s="316" t="s">
        <v>114</v>
      </c>
      <c r="R53" s="316" t="s">
        <v>130</v>
      </c>
      <c r="S53" s="316" t="s">
        <v>12</v>
      </c>
      <c r="T53" s="316">
        <v>840.0</v>
      </c>
      <c r="U53" s="253"/>
      <c r="V53" s="136"/>
    </row>
    <row r="54">
      <c r="B54" s="348"/>
      <c r="C54" s="94"/>
      <c r="D54" s="93"/>
      <c r="E54" s="14"/>
      <c r="F54" s="364" t="s">
        <v>142</v>
      </c>
      <c r="G54" s="94"/>
      <c r="H54" s="93"/>
      <c r="I54" s="378">
        <v>2000.0</v>
      </c>
      <c r="J54" s="379">
        <f t="array" ref="J54">sum(IF(($R$3:$R$100=F54), $T$3:$T$100, 0))</f>
        <v>1320</v>
      </c>
      <c r="K54" s="159"/>
      <c r="L54" s="14"/>
      <c r="P54" s="315">
        <v>45920.0</v>
      </c>
      <c r="Q54" s="316" t="s">
        <v>119</v>
      </c>
      <c r="R54" s="316" t="s">
        <v>141</v>
      </c>
      <c r="S54" s="316" t="s">
        <v>51</v>
      </c>
      <c r="T54" s="316">
        <v>500.0</v>
      </c>
      <c r="U54" s="253"/>
      <c r="V54" s="136"/>
    </row>
    <row r="55">
      <c r="B55" s="353" t="s">
        <v>123</v>
      </c>
      <c r="C55" s="86"/>
      <c r="D55" s="81"/>
      <c r="E55" s="356">
        <f>sum(I55:I57)</f>
        <v>5200</v>
      </c>
      <c r="F55" s="355" t="s">
        <v>123</v>
      </c>
      <c r="G55" s="86"/>
      <c r="H55" s="81"/>
      <c r="I55" s="382">
        <v>100.0</v>
      </c>
      <c r="J55" s="379">
        <f t="array" ref="J55">sum(IF(($R$3:$R$100=F55), $T$3:$T$100, 0))</f>
        <v>880</v>
      </c>
      <c r="K55" s="159"/>
      <c r="L55" s="356">
        <f>sum(J55:J58)</f>
        <v>3620</v>
      </c>
      <c r="P55" s="315">
        <v>45921.0</v>
      </c>
      <c r="Q55" s="316" t="s">
        <v>131</v>
      </c>
      <c r="R55" s="316" t="s">
        <v>23</v>
      </c>
      <c r="S55" s="316" t="s">
        <v>51</v>
      </c>
      <c r="T55" s="316">
        <f>30+50</f>
        <v>80</v>
      </c>
      <c r="U55" s="330"/>
      <c r="V55" s="136"/>
    </row>
    <row r="56">
      <c r="B56" s="358"/>
      <c r="D56" s="359"/>
      <c r="E56" s="360"/>
      <c r="F56" s="361" t="s">
        <v>144</v>
      </c>
      <c r="H56" s="359"/>
      <c r="I56" s="378">
        <v>100.0</v>
      </c>
      <c r="J56" s="379">
        <f t="array" ref="J56">sum(IF(($R$3:$R$100=F56), $T$3:$T$100, 0))</f>
        <v>740</v>
      </c>
      <c r="K56" s="159"/>
      <c r="L56" s="360"/>
      <c r="P56" s="315">
        <v>45923.0</v>
      </c>
      <c r="Q56" s="316" t="s">
        <v>131</v>
      </c>
      <c r="R56" s="316" t="s">
        <v>148</v>
      </c>
      <c r="S56" s="316" t="s">
        <v>51</v>
      </c>
      <c r="T56" s="316">
        <f>15*5+10+40</f>
        <v>125</v>
      </c>
      <c r="U56" s="253"/>
      <c r="V56" s="136"/>
    </row>
    <row r="57">
      <c r="B57" s="348"/>
      <c r="C57" s="94"/>
      <c r="D57" s="93"/>
      <c r="E57" s="14"/>
      <c r="F57" s="364" t="s">
        <v>145</v>
      </c>
      <c r="G57" s="94"/>
      <c r="H57" s="93"/>
      <c r="I57" s="378">
        <v>5000.0</v>
      </c>
      <c r="J57" s="379">
        <f t="array" ref="J57">sum(IF(($R$3:$R$100=F57), $T$3:$T$100, 0))</f>
        <v>1880</v>
      </c>
      <c r="K57" s="159"/>
      <c r="L57" s="14"/>
      <c r="P57" s="315">
        <v>45923.0</v>
      </c>
      <c r="Q57" s="316" t="s">
        <v>119</v>
      </c>
      <c r="R57" s="316" t="s">
        <v>138</v>
      </c>
      <c r="S57" s="316" t="s">
        <v>51</v>
      </c>
      <c r="T57" s="316">
        <v>90.0</v>
      </c>
      <c r="U57" s="253"/>
      <c r="V57" s="136"/>
    </row>
    <row r="58">
      <c r="B58" s="353" t="s">
        <v>127</v>
      </c>
      <c r="C58" s="86"/>
      <c r="D58" s="81"/>
      <c r="E58" s="354">
        <f>I58+I59</f>
        <v>400</v>
      </c>
      <c r="F58" s="355" t="s">
        <v>146</v>
      </c>
      <c r="G58" s="86"/>
      <c r="H58" s="81"/>
      <c r="I58" s="380">
        <v>100.0</v>
      </c>
      <c r="J58" s="379">
        <f t="array" ref="J58">sum(IF(($R$3:$R$100=F58), $T$3:$T$100, 0))</f>
        <v>120</v>
      </c>
      <c r="K58" s="159"/>
      <c r="L58" s="393"/>
      <c r="P58" s="315">
        <v>45923.0</v>
      </c>
      <c r="Q58" s="316" t="s">
        <v>131</v>
      </c>
      <c r="R58" s="316" t="s">
        <v>145</v>
      </c>
      <c r="S58" s="316" t="s">
        <v>51</v>
      </c>
      <c r="T58" s="136">
        <f>100+70</f>
        <v>170</v>
      </c>
      <c r="U58" s="253"/>
      <c r="V58" s="136"/>
    </row>
    <row r="59">
      <c r="B59" s="348"/>
      <c r="C59" s="94"/>
      <c r="D59" s="93"/>
      <c r="E59" s="14"/>
      <c r="F59" s="364" t="s">
        <v>147</v>
      </c>
      <c r="G59" s="94"/>
      <c r="H59" s="93"/>
      <c r="I59" s="380">
        <v>300.0</v>
      </c>
      <c r="J59" s="379">
        <f t="array" ref="J59">sum(IF(($R$3:$R$100=F59), $T$3:$T$100, 0))</f>
        <v>633</v>
      </c>
      <c r="K59" s="159"/>
      <c r="L59" s="14"/>
      <c r="P59" s="315">
        <v>45921.0</v>
      </c>
      <c r="Q59" s="316" t="s">
        <v>127</v>
      </c>
      <c r="R59" s="316" t="s">
        <v>147</v>
      </c>
      <c r="S59" s="316" t="s">
        <v>12</v>
      </c>
      <c r="T59" s="316">
        <f>208+50+100</f>
        <v>358</v>
      </c>
      <c r="U59" s="253"/>
      <c r="V59" s="136"/>
    </row>
    <row r="60">
      <c r="B60" s="353" t="s">
        <v>131</v>
      </c>
      <c r="C60" s="86"/>
      <c r="D60" s="81"/>
      <c r="E60" s="356"/>
      <c r="F60" s="355" t="s">
        <v>148</v>
      </c>
      <c r="G60" s="86"/>
      <c r="H60" s="81"/>
      <c r="I60" s="378">
        <v>200.0</v>
      </c>
      <c r="J60" s="379">
        <f t="array" ref="J60">sum(IF(($R$3:$R$100=F60), $T$3:$T$100, 0))</f>
        <v>275</v>
      </c>
      <c r="K60" s="159"/>
      <c r="L60" s="393"/>
      <c r="P60" s="315">
        <v>45923.0</v>
      </c>
      <c r="Q60" s="316" t="s">
        <v>114</v>
      </c>
      <c r="R60" s="316" t="s">
        <v>122</v>
      </c>
      <c r="S60" s="316" t="s">
        <v>12</v>
      </c>
      <c r="T60" s="316">
        <v>441.0</v>
      </c>
      <c r="U60" s="253"/>
      <c r="V60" s="136"/>
    </row>
    <row r="61">
      <c r="B61" s="358"/>
      <c r="D61" s="359"/>
      <c r="E61" s="360"/>
      <c r="F61" s="361" t="s">
        <v>23</v>
      </c>
      <c r="H61" s="359"/>
      <c r="I61" s="378">
        <v>300.0</v>
      </c>
      <c r="J61" s="379">
        <f t="array" ref="J61">sum(IF(($R$3:$R$100=F61), $T$3:$T$100, 0))</f>
        <v>2230</v>
      </c>
      <c r="K61" s="159"/>
      <c r="L61" s="360"/>
      <c r="P61" s="315">
        <v>45925.0</v>
      </c>
      <c r="Q61" s="316" t="s">
        <v>131</v>
      </c>
      <c r="R61" s="316" t="s">
        <v>148</v>
      </c>
      <c r="S61" s="316" t="s">
        <v>51</v>
      </c>
      <c r="T61" s="316">
        <f>15+15</f>
        <v>30</v>
      </c>
      <c r="U61" s="253"/>
      <c r="V61" s="136"/>
    </row>
    <row r="62">
      <c r="B62" s="348"/>
      <c r="C62" s="94"/>
      <c r="D62" s="93"/>
      <c r="E62" s="14"/>
      <c r="F62" s="364" t="s">
        <v>149</v>
      </c>
      <c r="G62" s="94"/>
      <c r="H62" s="93"/>
      <c r="I62" s="378">
        <v>100.0</v>
      </c>
      <c r="J62" s="379">
        <f t="array" ref="J62">sum(IF(($R$3:$R$100=F62), $T$3:$T$100, 0))</f>
        <v>0</v>
      </c>
      <c r="K62" s="159"/>
      <c r="L62" s="14"/>
      <c r="P62" s="315"/>
      <c r="Q62" s="316"/>
      <c r="R62" s="316"/>
      <c r="S62" s="316"/>
      <c r="T62" s="316"/>
      <c r="U62" s="253"/>
      <c r="V62" s="136"/>
    </row>
    <row r="63">
      <c r="B63" s="367" t="s">
        <v>134</v>
      </c>
      <c r="D63" s="359"/>
      <c r="E63" s="362"/>
      <c r="F63" s="361" t="s">
        <v>150</v>
      </c>
      <c r="H63" s="359"/>
      <c r="I63" s="380">
        <v>2500.0</v>
      </c>
      <c r="J63" s="379">
        <f t="array" ref="J63">sum(IF(($R$3:$R$100=F63), $T$3:$T$100, 0))</f>
        <v>0</v>
      </c>
      <c r="K63" s="159"/>
      <c r="L63" s="393"/>
      <c r="P63" s="315"/>
      <c r="Q63" s="316"/>
      <c r="R63" s="316"/>
      <c r="S63" s="316"/>
      <c r="T63" s="316"/>
      <c r="U63" s="330"/>
      <c r="V63" s="136"/>
    </row>
    <row r="64">
      <c r="B64" s="358"/>
      <c r="D64" s="359"/>
      <c r="E64" s="360"/>
      <c r="F64" s="361" t="s">
        <v>131</v>
      </c>
      <c r="H64" s="359"/>
      <c r="I64" s="354">
        <v>0.0</v>
      </c>
      <c r="J64" s="394">
        <f t="array" ref="J64">sum(IF(($R$3:$R$100=F64), $T$3:$T$100, 0))</f>
        <v>2820</v>
      </c>
      <c r="K64" s="81"/>
      <c r="L64" s="14"/>
      <c r="P64" s="315"/>
      <c r="Q64" s="316"/>
      <c r="R64" s="316"/>
      <c r="S64" s="316"/>
      <c r="T64" s="316"/>
      <c r="U64" s="253"/>
      <c r="V64" s="136"/>
    </row>
    <row r="65">
      <c r="B65" s="353" t="s">
        <v>26</v>
      </c>
      <c r="C65" s="86"/>
      <c r="D65" s="86"/>
      <c r="E65" s="356"/>
      <c r="F65" s="355" t="s">
        <v>116</v>
      </c>
      <c r="G65" s="86"/>
      <c r="H65" s="81"/>
      <c r="I65" s="378">
        <v>30.0</v>
      </c>
      <c r="J65" s="357">
        <f t="array" ref="J65">sum(IF(($R$3:$R$100=F65), $T$3:$T$100, 0))</f>
        <v>2500</v>
      </c>
      <c r="K65" s="81"/>
      <c r="L65" s="393"/>
      <c r="P65" s="315"/>
      <c r="Q65" s="316"/>
      <c r="R65" s="316"/>
      <c r="S65" s="316"/>
      <c r="T65" s="316"/>
      <c r="U65" s="253"/>
      <c r="V65" s="136"/>
    </row>
    <row r="66">
      <c r="B66" s="348"/>
      <c r="C66" s="94"/>
      <c r="D66" s="94"/>
      <c r="E66" s="14"/>
      <c r="F66" s="395" t="s">
        <v>121</v>
      </c>
      <c r="G66" s="94"/>
      <c r="H66" s="93"/>
      <c r="I66" s="386">
        <v>0.0</v>
      </c>
      <c r="J66" s="357">
        <f t="array" ref="J66">sum(IF(($R$3:$R$100=F66), $T$3:$T$100, 0))</f>
        <v>0</v>
      </c>
      <c r="K66" s="81"/>
      <c r="L66" s="14"/>
      <c r="P66" s="315"/>
      <c r="Q66" s="316"/>
      <c r="R66" s="316"/>
      <c r="S66" s="316"/>
      <c r="T66" s="316"/>
      <c r="U66" s="253"/>
      <c r="V66" s="136"/>
    </row>
    <row r="67">
      <c r="B67" s="353" t="s">
        <v>139</v>
      </c>
      <c r="C67" s="86"/>
      <c r="D67" s="86"/>
      <c r="E67" s="356"/>
      <c r="F67" s="355" t="s">
        <v>125</v>
      </c>
      <c r="G67" s="86"/>
      <c r="H67" s="81"/>
      <c r="I67" s="380">
        <v>0.0</v>
      </c>
      <c r="J67" s="357">
        <f t="array" ref="J67">sum(IF(($R$3:$R$100=F67), $T$3:$T$100, 0))</f>
        <v>0</v>
      </c>
      <c r="K67" s="81"/>
      <c r="L67" s="393"/>
      <c r="P67" s="315"/>
      <c r="Q67" s="316"/>
      <c r="R67" s="316"/>
      <c r="S67" s="316"/>
      <c r="T67" s="316"/>
      <c r="U67" s="253"/>
      <c r="V67" s="136"/>
    </row>
    <row r="68">
      <c r="B68" s="348"/>
      <c r="C68" s="94"/>
      <c r="D68" s="94"/>
      <c r="E68" s="14"/>
      <c r="F68" s="395" t="s">
        <v>129</v>
      </c>
      <c r="G68" s="94"/>
      <c r="H68" s="93"/>
      <c r="I68" s="397">
        <v>0.0</v>
      </c>
      <c r="J68" s="371">
        <f t="array" ref="J68">sum(IF(($R$3:$R$100=F68), $T$3:$T$100, 0))</f>
        <v>0</v>
      </c>
      <c r="K68" s="159"/>
      <c r="L68" s="14"/>
      <c r="P68" s="315"/>
      <c r="Q68" s="316"/>
      <c r="R68" s="316"/>
      <c r="S68" s="316"/>
      <c r="T68" s="136"/>
      <c r="U68" s="253"/>
      <c r="V68" s="136"/>
    </row>
    <row r="69">
      <c r="F69" s="298" t="s">
        <v>132</v>
      </c>
      <c r="P69" s="315"/>
      <c r="Q69" s="316"/>
      <c r="R69" s="316"/>
      <c r="S69" s="316"/>
      <c r="T69" s="316"/>
      <c r="U69" s="253"/>
      <c r="V69" s="136"/>
    </row>
    <row r="70">
      <c r="F70" s="298" t="s">
        <v>26</v>
      </c>
      <c r="H70" s="10" t="s">
        <v>96</v>
      </c>
      <c r="I70" s="136">
        <f t="shared" ref="I70:J70" si="2">SUM(I45:I68)</f>
        <v>37700</v>
      </c>
      <c r="J70" s="136">
        <f t="shared" si="2"/>
        <v>42459</v>
      </c>
      <c r="L70" s="298">
        <f t="shared" ref="L70:L72" si="4">I70-J70</f>
        <v>-4759</v>
      </c>
      <c r="P70" s="315"/>
      <c r="Q70" s="316"/>
      <c r="R70" s="316"/>
      <c r="S70" s="316"/>
      <c r="T70" s="316"/>
      <c r="U70" s="253"/>
      <c r="V70" s="136"/>
    </row>
    <row r="71">
      <c r="F71" s="298" t="s">
        <v>151</v>
      </c>
      <c r="H71" s="10" t="s">
        <v>190</v>
      </c>
      <c r="I71" s="136">
        <f t="shared" ref="I71:J71" si="3">I46+I47+I49+I58+I59+I63+I67+I68</f>
        <v>4990</v>
      </c>
      <c r="J71" s="136">
        <f t="shared" si="3"/>
        <v>3334</v>
      </c>
      <c r="L71" s="298">
        <f t="shared" si="4"/>
        <v>1656</v>
      </c>
      <c r="P71" s="315"/>
      <c r="Q71" s="316"/>
      <c r="R71" s="316"/>
      <c r="S71" s="316"/>
      <c r="T71" s="316"/>
      <c r="U71" s="253"/>
      <c r="V71" s="136"/>
    </row>
    <row r="72">
      <c r="F72" s="298" t="s">
        <v>152</v>
      </c>
      <c r="H72" s="10" t="s">
        <v>51</v>
      </c>
      <c r="I72" s="136">
        <f t="shared" ref="I72:J72" si="5">I70-I71</f>
        <v>32710</v>
      </c>
      <c r="J72" s="136">
        <f t="shared" si="5"/>
        <v>39125</v>
      </c>
      <c r="L72" s="298">
        <f t="shared" si="4"/>
        <v>-6415</v>
      </c>
      <c r="P72" s="315"/>
      <c r="Q72" s="316"/>
      <c r="R72" s="316"/>
      <c r="S72" s="316"/>
      <c r="T72" s="316"/>
      <c r="U72" s="253"/>
      <c r="V72" s="136"/>
    </row>
    <row r="73">
      <c r="F73" s="298" t="s">
        <v>153</v>
      </c>
      <c r="P73" s="315"/>
      <c r="Q73" s="316"/>
      <c r="R73" s="316"/>
      <c r="S73" s="316"/>
      <c r="T73" s="316"/>
      <c r="U73" s="253"/>
      <c r="V73" s="136"/>
    </row>
    <row r="74">
      <c r="P74" s="315"/>
      <c r="Q74" s="316"/>
      <c r="R74" s="316"/>
      <c r="S74" s="316"/>
      <c r="T74" s="316"/>
      <c r="U74" s="253"/>
      <c r="V74" s="136"/>
    </row>
    <row r="75">
      <c r="P75" s="315"/>
      <c r="Q75" s="316"/>
      <c r="R75" s="316"/>
      <c r="S75" s="316"/>
      <c r="T75" s="316"/>
      <c r="U75" s="253"/>
      <c r="V75" s="136"/>
    </row>
    <row r="76">
      <c r="P76" s="315"/>
      <c r="Q76" s="316"/>
      <c r="R76" s="316"/>
      <c r="S76" s="316"/>
      <c r="T76" s="316"/>
      <c r="U76" s="253"/>
      <c r="V76" s="136"/>
    </row>
    <row r="77">
      <c r="P77" s="315"/>
      <c r="Q77" s="316"/>
      <c r="R77" s="316"/>
      <c r="S77" s="316"/>
      <c r="T77" s="316"/>
      <c r="U77" s="253"/>
      <c r="V77" s="136"/>
    </row>
    <row r="78">
      <c r="P78" s="315"/>
      <c r="Q78" s="316"/>
      <c r="R78" s="316"/>
      <c r="S78" s="316"/>
      <c r="T78" s="316"/>
      <c r="U78" s="253"/>
      <c r="V78" s="136"/>
    </row>
    <row r="79">
      <c r="P79" s="315"/>
      <c r="Q79" s="316"/>
      <c r="R79" s="316"/>
      <c r="S79" s="316"/>
      <c r="T79" s="316"/>
      <c r="U79" s="253"/>
      <c r="V79" s="136"/>
    </row>
    <row r="80">
      <c r="P80" s="315"/>
      <c r="Q80" s="316"/>
      <c r="R80" s="316"/>
      <c r="S80" s="316"/>
      <c r="T80" s="316"/>
      <c r="U80" s="253"/>
      <c r="V80" s="136"/>
    </row>
    <row r="81">
      <c r="P81" s="315"/>
      <c r="Q81" s="136"/>
      <c r="R81" s="136"/>
      <c r="S81" s="136"/>
      <c r="T81" s="136"/>
      <c r="U81" s="253"/>
      <c r="V81" s="136"/>
    </row>
    <row r="82">
      <c r="P82" s="315"/>
      <c r="Q82" s="136"/>
      <c r="R82" s="136"/>
      <c r="S82" s="136"/>
      <c r="T82" s="136"/>
      <c r="U82" s="253"/>
      <c r="V82" s="136"/>
    </row>
    <row r="83">
      <c r="P83" s="315"/>
      <c r="Q83" s="136"/>
      <c r="R83" s="136"/>
      <c r="S83" s="136"/>
      <c r="T83" s="136"/>
      <c r="U83" s="253"/>
      <c r="V83" s="136"/>
    </row>
    <row r="84">
      <c r="P84" s="252"/>
      <c r="Q84" s="136"/>
      <c r="R84" s="136"/>
      <c r="S84" s="136"/>
      <c r="T84" s="136"/>
      <c r="U84" s="253"/>
      <c r="V84" s="136"/>
    </row>
    <row r="85">
      <c r="P85" s="252"/>
      <c r="Q85" s="136"/>
      <c r="R85" s="136"/>
      <c r="S85" s="136"/>
      <c r="T85" s="136"/>
      <c r="U85" s="253"/>
      <c r="V85" s="136"/>
    </row>
    <row r="86">
      <c r="P86" s="252"/>
      <c r="Q86" s="136"/>
      <c r="R86" s="136"/>
      <c r="S86" s="136"/>
      <c r="T86" s="136"/>
      <c r="U86" s="253"/>
      <c r="V86" s="136"/>
    </row>
    <row r="87">
      <c r="P87" s="252"/>
      <c r="Q87" s="136"/>
      <c r="R87" s="136"/>
      <c r="S87" s="136"/>
      <c r="T87" s="136"/>
      <c r="U87" s="253"/>
      <c r="V87" s="136"/>
    </row>
    <row r="88">
      <c r="P88" s="252"/>
      <c r="Q88" s="136"/>
      <c r="R88" s="136"/>
      <c r="S88" s="136"/>
      <c r="T88" s="136"/>
      <c r="U88" s="253"/>
      <c r="V88" s="136"/>
    </row>
    <row r="89">
      <c r="P89" s="252"/>
      <c r="Q89" s="136"/>
      <c r="R89" s="136"/>
      <c r="S89" s="136"/>
      <c r="T89" s="136"/>
      <c r="U89" s="253"/>
      <c r="V89" s="136"/>
    </row>
    <row r="90">
      <c r="P90" s="252"/>
      <c r="Q90" s="136"/>
      <c r="R90" s="136"/>
      <c r="S90" s="136"/>
      <c r="T90" s="136"/>
      <c r="U90" s="253"/>
      <c r="V90" s="136"/>
    </row>
    <row r="91">
      <c r="P91" s="252"/>
      <c r="Q91" s="136"/>
      <c r="R91" s="136"/>
      <c r="S91" s="136"/>
      <c r="T91" s="136"/>
      <c r="U91" s="253"/>
      <c r="V91" s="136"/>
    </row>
    <row r="92">
      <c r="P92" s="252"/>
      <c r="Q92" s="136"/>
      <c r="R92" s="136"/>
      <c r="S92" s="136"/>
      <c r="T92" s="136"/>
      <c r="U92" s="253"/>
      <c r="V92" s="136"/>
    </row>
    <row r="93">
      <c r="P93" s="252"/>
      <c r="Q93" s="136"/>
      <c r="R93" s="136"/>
      <c r="S93" s="136"/>
      <c r="T93" s="136"/>
      <c r="U93" s="253"/>
      <c r="V93" s="136"/>
    </row>
    <row r="94">
      <c r="P94" s="252"/>
      <c r="Q94" s="136"/>
      <c r="R94" s="136"/>
      <c r="S94" s="136"/>
      <c r="T94" s="136"/>
      <c r="U94" s="253"/>
      <c r="V94" s="136"/>
    </row>
    <row r="95">
      <c r="P95" s="252"/>
      <c r="Q95" s="136"/>
      <c r="R95" s="136"/>
      <c r="S95" s="136"/>
      <c r="T95" s="136"/>
      <c r="U95" s="253"/>
      <c r="V95" s="136"/>
    </row>
    <row r="96">
      <c r="P96" s="252"/>
      <c r="Q96" s="136"/>
      <c r="R96" s="136"/>
      <c r="S96" s="136"/>
      <c r="T96" s="136"/>
      <c r="U96" s="253"/>
      <c r="V96" s="136"/>
    </row>
    <row r="97">
      <c r="P97" s="252"/>
      <c r="Q97" s="136"/>
      <c r="R97" s="136"/>
      <c r="S97" s="136"/>
      <c r="T97" s="136"/>
      <c r="U97" s="253"/>
      <c r="V97" s="136"/>
    </row>
    <row r="98">
      <c r="P98" s="252"/>
      <c r="Q98" s="136"/>
      <c r="R98" s="136"/>
      <c r="S98" s="136"/>
      <c r="T98" s="136"/>
      <c r="U98" s="253"/>
      <c r="V98" s="136"/>
    </row>
    <row r="99">
      <c r="P99" s="252"/>
      <c r="Q99" s="136"/>
      <c r="R99" s="136"/>
      <c r="S99" s="136"/>
      <c r="T99" s="136"/>
      <c r="U99" s="253"/>
      <c r="V99" s="136"/>
    </row>
    <row r="100">
      <c r="P100" s="252"/>
      <c r="Q100" s="136"/>
      <c r="R100" s="136"/>
      <c r="S100" s="136"/>
      <c r="T100" s="136"/>
      <c r="U100" s="25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88">
    <mergeCell ref="F56:H56"/>
    <mergeCell ref="F57:H57"/>
    <mergeCell ref="F60:H60"/>
    <mergeCell ref="F63:H63"/>
    <mergeCell ref="F65:H65"/>
    <mergeCell ref="F67:H67"/>
    <mergeCell ref="F68:H68"/>
    <mergeCell ref="F48:H48"/>
    <mergeCell ref="F49:H49"/>
    <mergeCell ref="F51:H51"/>
    <mergeCell ref="F52:H52"/>
    <mergeCell ref="F53:H53"/>
    <mergeCell ref="F54:H54"/>
    <mergeCell ref="F55:H55"/>
    <mergeCell ref="B60:D62"/>
    <mergeCell ref="E60:E62"/>
    <mergeCell ref="B63:D64"/>
    <mergeCell ref="E63:E64"/>
    <mergeCell ref="B65:D66"/>
    <mergeCell ref="E65:E66"/>
    <mergeCell ref="B67:D68"/>
    <mergeCell ref="E67:E68"/>
    <mergeCell ref="B45:D50"/>
    <mergeCell ref="B51:D54"/>
    <mergeCell ref="E51:E54"/>
    <mergeCell ref="B55:D57"/>
    <mergeCell ref="E55:E57"/>
    <mergeCell ref="B58:D59"/>
    <mergeCell ref="E58:E59"/>
    <mergeCell ref="J59:K59"/>
    <mergeCell ref="J60:K60"/>
    <mergeCell ref="J61:K61"/>
    <mergeCell ref="J62:K62"/>
    <mergeCell ref="J63:K63"/>
    <mergeCell ref="J64:K64"/>
    <mergeCell ref="J65:K65"/>
    <mergeCell ref="J73:K73"/>
    <mergeCell ref="J74:K74"/>
    <mergeCell ref="J66:K66"/>
    <mergeCell ref="J67:K67"/>
    <mergeCell ref="L67:L68"/>
    <mergeCell ref="J68:K68"/>
    <mergeCell ref="J70:K70"/>
    <mergeCell ref="J71:K71"/>
    <mergeCell ref="J72:K72"/>
    <mergeCell ref="B2:F2"/>
    <mergeCell ref="H2:H3"/>
    <mergeCell ref="I2:I3"/>
    <mergeCell ref="L2:M2"/>
    <mergeCell ref="L15:M15"/>
    <mergeCell ref="L24:M24"/>
    <mergeCell ref="L33:M33"/>
    <mergeCell ref="F46:H46"/>
    <mergeCell ref="F47:H47"/>
    <mergeCell ref="B42:K43"/>
    <mergeCell ref="B44:D44"/>
    <mergeCell ref="F44:H44"/>
    <mergeCell ref="J44:K44"/>
    <mergeCell ref="E45:E50"/>
    <mergeCell ref="F45:H45"/>
    <mergeCell ref="F50:H50"/>
    <mergeCell ref="L45:L50"/>
    <mergeCell ref="L51:L54"/>
    <mergeCell ref="L55:L57"/>
    <mergeCell ref="L58:L59"/>
    <mergeCell ref="L60:L62"/>
    <mergeCell ref="L63:L64"/>
    <mergeCell ref="L65:L66"/>
    <mergeCell ref="J45:K45"/>
    <mergeCell ref="J46:K46"/>
    <mergeCell ref="J47:K47"/>
    <mergeCell ref="J48:K48"/>
    <mergeCell ref="J49:K49"/>
    <mergeCell ref="J50:K50"/>
    <mergeCell ref="J51:K51"/>
    <mergeCell ref="F58:H58"/>
    <mergeCell ref="F59:H59"/>
    <mergeCell ref="F61:H61"/>
    <mergeCell ref="F62:H62"/>
    <mergeCell ref="F64:H64"/>
    <mergeCell ref="F66:H66"/>
    <mergeCell ref="J52:K52"/>
    <mergeCell ref="J53:K53"/>
    <mergeCell ref="J54:K54"/>
    <mergeCell ref="J55:K55"/>
    <mergeCell ref="J56:K56"/>
    <mergeCell ref="J57:K57"/>
    <mergeCell ref="J58:K58"/>
  </mergeCells>
  <conditionalFormatting sqref="J45:K68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73823</v>
      </c>
      <c r="L2" s="84" t="s">
        <v>34</v>
      </c>
      <c r="M2" s="86"/>
      <c r="N2" s="85">
        <f>M4+M5+M8+M9+M12</f>
        <v>35047</v>
      </c>
      <c r="P2" s="309" t="s">
        <v>6</v>
      </c>
      <c r="Q2" s="310" t="s">
        <v>107</v>
      </c>
      <c r="R2" s="310" t="s">
        <v>108</v>
      </c>
      <c r="S2" s="310" t="s">
        <v>156</v>
      </c>
      <c r="T2" s="310" t="s">
        <v>35</v>
      </c>
      <c r="U2" s="311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315">
        <v>45926.0</v>
      </c>
      <c r="Q3" s="316" t="s">
        <v>26</v>
      </c>
      <c r="R3" s="316" t="s">
        <v>26</v>
      </c>
      <c r="S3" s="316" t="s">
        <v>51</v>
      </c>
      <c r="T3" s="316">
        <v>10.0</v>
      </c>
      <c r="U3" s="330"/>
      <c r="V3" s="136"/>
    </row>
    <row r="4">
      <c r="B4" s="317">
        <v>45925.0</v>
      </c>
      <c r="C4" s="108"/>
      <c r="D4" s="150">
        <v>37834.0</v>
      </c>
      <c r="E4" s="108" t="s">
        <v>143</v>
      </c>
      <c r="F4" s="174" t="s">
        <v>120</v>
      </c>
      <c r="H4" s="318" t="str">
        <f t="shared" ref="H4:H35" si="1">TEXT(I4, "dddd")
</f>
        <v>Friday</v>
      </c>
      <c r="I4" s="319">
        <v>45926.0</v>
      </c>
      <c r="J4" s="170">
        <f t="array" ref="J4">sum(IF(($P$3:$P$100=I4), $T$3:$T$100, 0))</f>
        <v>795</v>
      </c>
      <c r="L4" s="320" t="str">
        <f t="array" ref="L4:L12">INDIRECT("Account")</f>
        <v>Cash</v>
      </c>
      <c r="M4" s="321">
        <f t="array" ref="M4">N4 - sum(IF(($E$4:$E$49=L4), $D$4:$D$39 + $C$4:$C$39, 0)) + sum(IF(($F$4:$F$49=L4), $D$4:$D$39, 0)) - sum(IF(($S$3:$S$100=L4), $T$3:$T$100, 0))</f>
        <v>17250</v>
      </c>
      <c r="N4" s="322">
        <f>'Sept 25'!M4</f>
        <v>1835</v>
      </c>
      <c r="P4" s="315">
        <v>45926.0</v>
      </c>
      <c r="Q4" s="316" t="s">
        <v>123</v>
      </c>
      <c r="R4" s="316" t="s">
        <v>144</v>
      </c>
      <c r="S4" s="316" t="s">
        <v>51</v>
      </c>
      <c r="T4" s="316">
        <v>85.0</v>
      </c>
      <c r="U4" s="253"/>
      <c r="V4" s="136"/>
    </row>
    <row r="5">
      <c r="B5" s="317">
        <v>45925.0</v>
      </c>
      <c r="C5" s="108"/>
      <c r="D5" s="142">
        <v>15000.0</v>
      </c>
      <c r="E5" s="108" t="s">
        <v>143</v>
      </c>
      <c r="F5" s="174" t="s">
        <v>120</v>
      </c>
      <c r="H5" s="318" t="str">
        <f t="shared" si="1"/>
        <v>Saturday</v>
      </c>
      <c r="I5" s="319">
        <v>45927.0</v>
      </c>
      <c r="J5" s="170">
        <f t="array" ref="J5">sum(IF(($P$3:$P$100=I5), $T$3:$T$100, 0))</f>
        <v>7860</v>
      </c>
      <c r="L5" s="324" t="s">
        <v>120</v>
      </c>
      <c r="M5" s="325">
        <f t="array" ref="M5">N5 - sum(IF(($E$4:$E$49=L5), $D$4:$D$39 + $C$4:$C$39, 0)) + sum(IF(($F$4:$F$49=L5), $D$4:$D$39, 0)) - sum(IF(($S$3:$S$100=L5), $T$3:$T$100, 0))</f>
        <v>435</v>
      </c>
      <c r="N5" s="326">
        <f>'Sept 25'!M5</f>
        <v>10371</v>
      </c>
      <c r="P5" s="315">
        <v>45926.0</v>
      </c>
      <c r="Q5" s="316" t="s">
        <v>119</v>
      </c>
      <c r="R5" s="316" t="s">
        <v>141</v>
      </c>
      <c r="S5" s="316" t="s">
        <v>51</v>
      </c>
      <c r="T5" s="316">
        <f>500+200</f>
        <v>700</v>
      </c>
      <c r="U5" s="330"/>
      <c r="V5" s="136"/>
    </row>
    <row r="6">
      <c r="B6" s="317">
        <v>45927.0</v>
      </c>
      <c r="C6" s="108">
        <v>15.0</v>
      </c>
      <c r="D6" s="142">
        <v>10000.0</v>
      </c>
      <c r="E6" s="108" t="s">
        <v>120</v>
      </c>
      <c r="F6" s="174" t="s">
        <v>51</v>
      </c>
      <c r="H6" s="318" t="str">
        <f t="shared" si="1"/>
        <v>Sunday</v>
      </c>
      <c r="I6" s="319">
        <v>45928.0</v>
      </c>
      <c r="J6" s="170">
        <f t="array" ref="J6">sum(IF(($P$3:$P$100=I6), $T$3:$T$100, 0))</f>
        <v>360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156</v>
      </c>
      <c r="N6" s="326">
        <f>'Sept 25'!M6</f>
        <v>30176</v>
      </c>
      <c r="P6" s="315">
        <v>45927.0</v>
      </c>
      <c r="Q6" s="316" t="s">
        <v>119</v>
      </c>
      <c r="R6" s="316" t="s">
        <v>141</v>
      </c>
      <c r="S6" s="316" t="s">
        <v>51</v>
      </c>
      <c r="T6" s="316">
        <v>5000.0</v>
      </c>
      <c r="U6" s="330"/>
      <c r="V6" s="136"/>
    </row>
    <row r="7">
      <c r="B7" s="317">
        <v>45931.0</v>
      </c>
      <c r="C7" s="142">
        <v>15.0</v>
      </c>
      <c r="D7" s="142">
        <v>10000.0</v>
      </c>
      <c r="E7" s="108" t="s">
        <v>120</v>
      </c>
      <c r="F7" s="174" t="s">
        <v>51</v>
      </c>
      <c r="H7" s="318" t="str">
        <f t="shared" si="1"/>
        <v>Monday</v>
      </c>
      <c r="I7" s="319">
        <v>45929.0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'Sept 25'!M7</f>
        <v>285</v>
      </c>
      <c r="P7" s="315">
        <v>45927.0</v>
      </c>
      <c r="Q7" s="316" t="s">
        <v>131</v>
      </c>
      <c r="R7" s="316" t="s">
        <v>145</v>
      </c>
      <c r="S7" s="316" t="s">
        <v>51</v>
      </c>
      <c r="T7" s="316">
        <f>500+300+1990</f>
        <v>2790</v>
      </c>
      <c r="U7" s="330" t="s">
        <v>223</v>
      </c>
      <c r="V7" s="136"/>
    </row>
    <row r="8">
      <c r="B8" s="317">
        <v>45927.0</v>
      </c>
      <c r="C8" s="108"/>
      <c r="D8" s="142">
        <v>30000.0</v>
      </c>
      <c r="E8" s="108" t="s">
        <v>120</v>
      </c>
      <c r="F8" s="174" t="s">
        <v>136</v>
      </c>
      <c r="H8" s="318" t="str">
        <f t="shared" si="1"/>
        <v>Tuesday</v>
      </c>
      <c r="I8" s="319">
        <v>45930.0</v>
      </c>
      <c r="J8" s="170">
        <f t="array" ref="J8">sum(IF(($P$3:$P$100=I8), $T$3:$T$100, 0))</f>
        <v>0</v>
      </c>
      <c r="L8" s="331" t="s">
        <v>12</v>
      </c>
      <c r="M8" s="325">
        <f t="array" ref="M8">N8 - sum(IF(($E$4:$E$49=L8), $D$4:$D$39 + $C$4:$C$39, 0)) + sum(IF(($F$4:$F$49=L8), $D$4:$D$39, 0)) - sum(IF(($S$3:$S$100=L8), $T$3:$T$100, 0))</f>
        <v>218</v>
      </c>
      <c r="N8" s="326">
        <f>'Sept 25'!M8</f>
        <v>681</v>
      </c>
      <c r="P8" s="315">
        <v>45927.0</v>
      </c>
      <c r="Q8" s="316" t="s">
        <v>119</v>
      </c>
      <c r="R8" s="316" t="s">
        <v>138</v>
      </c>
      <c r="S8" s="316" t="s">
        <v>51</v>
      </c>
      <c r="T8" s="316">
        <v>70.0</v>
      </c>
      <c r="U8" s="330"/>
      <c r="V8" s="136"/>
    </row>
    <row r="9">
      <c r="B9" s="317">
        <v>45935.0</v>
      </c>
      <c r="C9" s="108"/>
      <c r="D9" s="108">
        <v>20000.0</v>
      </c>
      <c r="E9" s="108" t="s">
        <v>136</v>
      </c>
      <c r="F9" s="174" t="s">
        <v>51</v>
      </c>
      <c r="H9" s="318" t="str">
        <f t="shared" si="1"/>
        <v>Wednesday</v>
      </c>
      <c r="I9" s="319">
        <v>45931.0</v>
      </c>
      <c r="J9" s="170">
        <f t="array" ref="J9">sum(IF(($P$3:$P$100=I9), $T$3:$T$100, 0))</f>
        <v>510</v>
      </c>
      <c r="L9" s="331" t="s">
        <v>65</v>
      </c>
      <c r="M9" s="325">
        <f t="array" ref="M9">N9 - sum(IF(($E$4:$E$49=L9), $D$4:$D$39 + $C$4:$C$39, 0)) + sum(IF(($F$4:$F$49=L9), $D$4:$D$39, 0)) - sum(IF(($S$3:$S$100=L9), $T$3:$T$100, 0))</f>
        <v>2</v>
      </c>
      <c r="N9" s="326">
        <f>'Sept 25'!M9</f>
        <v>2</v>
      </c>
      <c r="P9" s="315">
        <v>45928.0</v>
      </c>
      <c r="Q9" s="316" t="s">
        <v>119</v>
      </c>
      <c r="R9" s="316" t="s">
        <v>142</v>
      </c>
      <c r="S9" s="316" t="s">
        <v>51</v>
      </c>
      <c r="T9" s="316">
        <v>360.0</v>
      </c>
      <c r="U9" s="330" t="s">
        <v>224</v>
      </c>
      <c r="V9" s="136"/>
    </row>
    <row r="10">
      <c r="B10" s="317">
        <v>45936.0</v>
      </c>
      <c r="C10" s="142"/>
      <c r="D10" s="142">
        <v>40.0</v>
      </c>
      <c r="E10" s="108" t="s">
        <v>143</v>
      </c>
      <c r="F10" s="174" t="s">
        <v>12</v>
      </c>
      <c r="H10" s="318" t="str">
        <f t="shared" si="1"/>
        <v>Thursday</v>
      </c>
      <c r="I10" s="319">
        <v>45932.0</v>
      </c>
      <c r="J10" s="170">
        <f t="array" ref="J10">sum(IF(($P$3:$P$100=I10), $T$3:$T$100, 0))</f>
        <v>0</v>
      </c>
      <c r="L10" s="333" t="s">
        <v>137</v>
      </c>
      <c r="M10" s="374">
        <f>N10-10000</f>
        <v>110000</v>
      </c>
      <c r="N10" s="326">
        <f>'Sept 25'!M10</f>
        <v>120000</v>
      </c>
      <c r="P10" s="315">
        <v>45931.0</v>
      </c>
      <c r="Q10" s="316" t="s">
        <v>119</v>
      </c>
      <c r="R10" s="316" t="s">
        <v>135</v>
      </c>
      <c r="S10" s="316" t="s">
        <v>51</v>
      </c>
      <c r="T10" s="316">
        <v>200.0</v>
      </c>
      <c r="U10" s="330" t="s">
        <v>225</v>
      </c>
      <c r="V10" s="136"/>
    </row>
    <row r="11">
      <c r="B11" s="317">
        <v>45945.0</v>
      </c>
      <c r="C11" s="108">
        <v>20.0</v>
      </c>
      <c r="D11" s="142">
        <v>30000.0</v>
      </c>
      <c r="E11" s="108" t="s">
        <v>124</v>
      </c>
      <c r="F11" s="174" t="s">
        <v>120</v>
      </c>
      <c r="H11" s="318" t="str">
        <f t="shared" si="1"/>
        <v>Friday</v>
      </c>
      <c r="I11" s="319">
        <v>45933.0</v>
      </c>
      <c r="J11" s="170">
        <f t="array" ref="J11">sum(IF(($P$3:$P$100=I11), $T$3:$T$100, 0))</f>
        <v>4230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>'Sept 25'!M11</f>
        <v>5500</v>
      </c>
      <c r="P11" s="315">
        <v>45931.0</v>
      </c>
      <c r="Q11" s="316" t="s">
        <v>119</v>
      </c>
      <c r="R11" s="316" t="s">
        <v>138</v>
      </c>
      <c r="S11" s="316" t="s">
        <v>51</v>
      </c>
      <c r="T11" s="316">
        <f>100+80</f>
        <v>180</v>
      </c>
      <c r="U11" s="330" t="s">
        <v>226</v>
      </c>
      <c r="V11" s="136"/>
    </row>
    <row r="12">
      <c r="B12" s="317">
        <v>45945.0</v>
      </c>
      <c r="C12" s="108"/>
      <c r="D12" s="142">
        <v>12000.0</v>
      </c>
      <c r="E12" s="108" t="s">
        <v>120</v>
      </c>
      <c r="F12" s="174" t="s">
        <v>51</v>
      </c>
      <c r="H12" s="318" t="str">
        <f t="shared" si="1"/>
        <v>Saturday</v>
      </c>
      <c r="I12" s="319">
        <v>45934.0</v>
      </c>
      <c r="J12" s="170">
        <f t="array" ref="J12">sum(IF(($P$3:$P$100=I12), $T$3:$T$100, 0))</f>
        <v>0</v>
      </c>
      <c r="L12" s="383" t="s">
        <v>136</v>
      </c>
      <c r="M12" s="384">
        <f t="array" ref="M12">N12 - sum(IF(($E$4:$E$49=L12), $D$4:$D$39 + $C$4:$C$39, 0)) + sum(IF(($F$4:$F$49=L12), $D$4:$D$39, 0)) - sum(IF(($S$3:$S$100=L12), $T$3:$T$100, 0))</f>
        <v>17142</v>
      </c>
      <c r="N12" s="326">
        <f>'Sept 25'!M12</f>
        <v>8062</v>
      </c>
      <c r="P12" s="315">
        <v>45931.0</v>
      </c>
      <c r="Q12" s="316" t="s">
        <v>119</v>
      </c>
      <c r="R12" s="316" t="s">
        <v>142</v>
      </c>
      <c r="S12" s="316" t="s">
        <v>51</v>
      </c>
      <c r="T12" s="316">
        <f>30</f>
        <v>30</v>
      </c>
      <c r="U12" s="330"/>
      <c r="V12" s="136"/>
    </row>
    <row r="13">
      <c r="B13" s="317">
        <v>45948.0</v>
      </c>
      <c r="C13" s="108"/>
      <c r="D13" s="142">
        <v>1500.0</v>
      </c>
      <c r="E13" s="108" t="s">
        <v>136</v>
      </c>
      <c r="F13" s="174" t="s">
        <v>12</v>
      </c>
      <c r="H13" s="318" t="str">
        <f t="shared" si="1"/>
        <v>Sunday</v>
      </c>
      <c r="I13" s="319">
        <v>45935.0</v>
      </c>
      <c r="J13" s="170">
        <f t="array" ref="J13">sum(IF(($P$3:$P$100=I13), $T$3:$T$100, 0))</f>
        <v>15614</v>
      </c>
      <c r="L13" s="338"/>
      <c r="M13" s="339"/>
      <c r="N13" s="340"/>
      <c r="P13" s="315">
        <v>45931.0</v>
      </c>
      <c r="Q13" s="316" t="s">
        <v>119</v>
      </c>
      <c r="R13" s="316" t="s">
        <v>142</v>
      </c>
      <c r="S13" s="316" t="s">
        <v>51</v>
      </c>
      <c r="T13" s="316">
        <v>100.0</v>
      </c>
      <c r="U13" s="330"/>
      <c r="V13" s="136"/>
    </row>
    <row r="14">
      <c r="B14" s="317">
        <v>45942.0</v>
      </c>
      <c r="C14" s="108"/>
      <c r="D14" s="142">
        <v>50.0</v>
      </c>
      <c r="E14" s="108" t="s">
        <v>143</v>
      </c>
      <c r="F14" s="174" t="s">
        <v>136</v>
      </c>
      <c r="H14" s="318" t="str">
        <f t="shared" si="1"/>
        <v>Monday</v>
      </c>
      <c r="I14" s="319">
        <v>45936.0</v>
      </c>
      <c r="J14" s="170">
        <f t="array" ref="J14">sum(IF(($P$3:$P$100=I14), $T$3:$T$100, 0))</f>
        <v>170</v>
      </c>
      <c r="P14" s="315">
        <v>45933.0</v>
      </c>
      <c r="Q14" s="316" t="s">
        <v>131</v>
      </c>
      <c r="R14" s="316" t="s">
        <v>131</v>
      </c>
      <c r="S14" s="316" t="s">
        <v>51</v>
      </c>
      <c r="T14" s="316">
        <f>2300</f>
        <v>2300</v>
      </c>
      <c r="U14" s="330" t="s">
        <v>227</v>
      </c>
      <c r="V14" s="136"/>
    </row>
    <row r="15">
      <c r="B15" s="317">
        <v>45948.0</v>
      </c>
      <c r="C15" s="108"/>
      <c r="D15" s="108">
        <v>25.0</v>
      </c>
      <c r="E15" s="108" t="s">
        <v>143</v>
      </c>
      <c r="F15" s="174" t="s">
        <v>12</v>
      </c>
      <c r="H15" s="318" t="str">
        <f t="shared" si="1"/>
        <v>Tuesday</v>
      </c>
      <c r="I15" s="319">
        <v>45937.0</v>
      </c>
      <c r="J15" s="170">
        <f t="array" ref="J15">sum(IF(($P$3:$P$100=I15), $T$3:$T$100, 0))</f>
        <v>15</v>
      </c>
      <c r="L15" s="137" t="s">
        <v>72</v>
      </c>
      <c r="M15" s="86"/>
      <c r="N15" s="138">
        <f>sum(N17:N22)</f>
        <v>0</v>
      </c>
      <c r="P15" s="315">
        <v>45933.0</v>
      </c>
      <c r="Q15" s="316" t="s">
        <v>119</v>
      </c>
      <c r="R15" s="316" t="s">
        <v>142</v>
      </c>
      <c r="S15" s="316" t="s">
        <v>51</v>
      </c>
      <c r="T15" s="316">
        <f>40+20</f>
        <v>60</v>
      </c>
      <c r="U15" s="330"/>
      <c r="V15" s="136"/>
    </row>
    <row r="16">
      <c r="B16" s="317">
        <v>45949.0</v>
      </c>
      <c r="C16" s="142"/>
      <c r="D16" s="142">
        <v>5000.0</v>
      </c>
      <c r="E16" s="108" t="s">
        <v>143</v>
      </c>
      <c r="F16" s="174" t="s">
        <v>51</v>
      </c>
      <c r="H16" s="318" t="str">
        <f t="shared" si="1"/>
        <v>Wednesday</v>
      </c>
      <c r="I16" s="319">
        <v>45938.0</v>
      </c>
      <c r="J16" s="170">
        <f t="array" ref="J16">sum(IF(($P$3:$P$100=I16), $T$3:$T$100, 0))</f>
        <v>150</v>
      </c>
      <c r="L16" s="139" t="s">
        <v>6</v>
      </c>
      <c r="M16" s="140" t="s">
        <v>74</v>
      </c>
      <c r="N16" s="141" t="s">
        <v>35</v>
      </c>
      <c r="P16" s="315">
        <v>45933.0</v>
      </c>
      <c r="Q16" s="316" t="s">
        <v>119</v>
      </c>
      <c r="R16" s="316" t="s">
        <v>142</v>
      </c>
      <c r="S16" s="316" t="s">
        <v>51</v>
      </c>
      <c r="T16" s="316">
        <v>570.0</v>
      </c>
      <c r="U16" s="330" t="s">
        <v>213</v>
      </c>
      <c r="V16" s="136"/>
    </row>
    <row r="17">
      <c r="B17" s="317">
        <v>45954.0</v>
      </c>
      <c r="C17" s="108"/>
      <c r="D17" s="108">
        <v>4000.0</v>
      </c>
      <c r="E17" s="108" t="s">
        <v>120</v>
      </c>
      <c r="F17" s="174" t="s">
        <v>136</v>
      </c>
      <c r="H17" s="318" t="str">
        <f t="shared" si="1"/>
        <v>Thursday</v>
      </c>
      <c r="I17" s="319">
        <v>45939.0</v>
      </c>
      <c r="J17" s="170">
        <f t="array" ref="J17">sum(IF(($P$3:$P$100=I17), $T$3:$T$100, 0))</f>
        <v>2500</v>
      </c>
      <c r="L17" s="143">
        <v>45774.0</v>
      </c>
      <c r="M17" s="132">
        <v>2500.0</v>
      </c>
      <c r="N17" s="103" t="s">
        <v>185</v>
      </c>
      <c r="P17" s="315">
        <v>45933.0</v>
      </c>
      <c r="Q17" s="316" t="s">
        <v>119</v>
      </c>
      <c r="R17" s="316" t="s">
        <v>135</v>
      </c>
      <c r="S17" s="316" t="s">
        <v>51</v>
      </c>
      <c r="T17" s="316">
        <f>380+700+100</f>
        <v>1180</v>
      </c>
      <c r="U17" s="330" t="s">
        <v>228</v>
      </c>
      <c r="V17" s="136"/>
    </row>
    <row r="18">
      <c r="B18" s="317"/>
      <c r="C18" s="108"/>
      <c r="D18" s="108"/>
      <c r="E18" s="108"/>
      <c r="F18" s="174"/>
      <c r="H18" s="318" t="str">
        <f t="shared" si="1"/>
        <v>Friday</v>
      </c>
      <c r="I18" s="319">
        <v>45940.0</v>
      </c>
      <c r="J18" s="170">
        <f t="array" ref="J18">sum(IF(($P$3:$P$100=I18), $T$3:$T$100, 0))</f>
        <v>2830</v>
      </c>
      <c r="L18" s="143"/>
      <c r="M18" s="132">
        <v>3000.0</v>
      </c>
      <c r="N18" s="103" t="s">
        <v>187</v>
      </c>
      <c r="P18" s="315">
        <v>45933.0</v>
      </c>
      <c r="Q18" s="316" t="s">
        <v>119</v>
      </c>
      <c r="R18" s="316" t="s">
        <v>138</v>
      </c>
      <c r="S18" s="316" t="s">
        <v>51</v>
      </c>
      <c r="T18" s="316">
        <v>100.0</v>
      </c>
      <c r="U18" s="330" t="s">
        <v>229</v>
      </c>
      <c r="V18" s="136"/>
    </row>
    <row r="19">
      <c r="B19" s="317"/>
      <c r="C19" s="112"/>
      <c r="D19" s="108"/>
      <c r="E19" s="108"/>
      <c r="F19" s="174"/>
      <c r="H19" s="318" t="str">
        <f t="shared" si="1"/>
        <v>Saturday</v>
      </c>
      <c r="I19" s="319">
        <v>45941.0</v>
      </c>
      <c r="J19" s="170">
        <f t="array" ref="J19">sum(IF(($P$3:$P$100=I19), $T$3:$T$100, 0))</f>
        <v>2500</v>
      </c>
      <c r="L19" s="148"/>
      <c r="M19" s="132"/>
      <c r="N19" s="103"/>
      <c r="P19" s="315">
        <v>45933.0</v>
      </c>
      <c r="Q19" s="316" t="s">
        <v>26</v>
      </c>
      <c r="R19" s="316" t="s">
        <v>26</v>
      </c>
      <c r="S19" s="316" t="s">
        <v>51</v>
      </c>
      <c r="T19" s="316">
        <v>20.0</v>
      </c>
      <c r="U19" s="330"/>
      <c r="V19" s="136"/>
    </row>
    <row r="20">
      <c r="B20" s="317"/>
      <c r="C20" s="142"/>
      <c r="D20" s="142"/>
      <c r="E20" s="108"/>
      <c r="F20" s="174"/>
      <c r="H20" s="318" t="str">
        <f t="shared" si="1"/>
        <v>Sunday</v>
      </c>
      <c r="I20" s="319">
        <v>45942.0</v>
      </c>
      <c r="J20" s="170">
        <f t="array" ref="J20">sum(IF(($P$3:$P$100=I20), $T$3:$T$100, 0))</f>
        <v>6090</v>
      </c>
      <c r="L20" s="148"/>
      <c r="M20" s="132"/>
      <c r="N20" s="185"/>
      <c r="P20" s="315">
        <v>45935.0</v>
      </c>
      <c r="Q20" s="316" t="s">
        <v>114</v>
      </c>
      <c r="R20" s="316" t="s">
        <v>115</v>
      </c>
      <c r="S20" s="316" t="s">
        <v>51</v>
      </c>
      <c r="T20" s="316">
        <v>13000.0</v>
      </c>
      <c r="U20" s="330"/>
      <c r="V20" s="136"/>
    </row>
    <row r="21">
      <c r="B21" s="317"/>
      <c r="C21" s="108"/>
      <c r="D21" s="108"/>
      <c r="E21" s="108"/>
      <c r="F21" s="174"/>
      <c r="H21" s="318" t="str">
        <f t="shared" si="1"/>
        <v>Monday</v>
      </c>
      <c r="I21" s="319">
        <v>45943.0</v>
      </c>
      <c r="J21" s="170">
        <f t="array" ref="J21">sum(IF(($P$3:$P$100=I21), $T$3:$T$100, 0))</f>
        <v>0</v>
      </c>
      <c r="L21" s="112"/>
      <c r="M21" s="102"/>
      <c r="N21" s="48"/>
      <c r="P21" s="315">
        <v>45935.0</v>
      </c>
      <c r="Q21" s="316" t="s">
        <v>114</v>
      </c>
      <c r="R21" s="316" t="s">
        <v>126</v>
      </c>
      <c r="S21" s="316" t="s">
        <v>51</v>
      </c>
      <c r="T21" s="316">
        <v>1080.0</v>
      </c>
      <c r="U21" s="330"/>
      <c r="V21" s="136"/>
    </row>
    <row r="22">
      <c r="B22" s="317"/>
      <c r="C22" s="112"/>
      <c r="D22" s="108"/>
      <c r="E22" s="108"/>
      <c r="F22" s="174"/>
      <c r="H22" s="318" t="str">
        <f t="shared" si="1"/>
        <v>Tuesday</v>
      </c>
      <c r="I22" s="319">
        <v>45944.0</v>
      </c>
      <c r="J22" s="170">
        <f t="array" ref="J22">sum(IF(($P$3:$P$100=I22), $T$3:$T$100, 0))</f>
        <v>45</v>
      </c>
      <c r="L22" s="127"/>
      <c r="M22" s="133"/>
      <c r="N22" s="68"/>
      <c r="P22" s="315">
        <v>45935.0</v>
      </c>
      <c r="Q22" s="316" t="s">
        <v>114</v>
      </c>
      <c r="R22" s="316" t="s">
        <v>133</v>
      </c>
      <c r="S22" s="316" t="s">
        <v>51</v>
      </c>
      <c r="T22" s="316">
        <v>800.0</v>
      </c>
      <c r="U22" s="330"/>
      <c r="V22" s="136"/>
    </row>
    <row r="23">
      <c r="B23" s="317"/>
      <c r="C23" s="108"/>
      <c r="D23" s="108"/>
      <c r="E23" s="108"/>
      <c r="F23" s="174"/>
      <c r="H23" s="318" t="str">
        <f t="shared" si="1"/>
        <v>Wednesday</v>
      </c>
      <c r="I23" s="319">
        <v>45945.0</v>
      </c>
      <c r="J23" s="170">
        <f t="array" ref="J23">sum(IF(($P$3:$P$100=I23), $T$3:$T$100, 0))</f>
        <v>24440</v>
      </c>
      <c r="P23" s="315">
        <v>45935.0</v>
      </c>
      <c r="Q23" s="316" t="s">
        <v>119</v>
      </c>
      <c r="R23" s="316" t="s">
        <v>141</v>
      </c>
      <c r="S23" s="316" t="s">
        <v>51</v>
      </c>
      <c r="T23" s="316">
        <v>120.0</v>
      </c>
      <c r="U23" s="330"/>
      <c r="V23" s="136"/>
    </row>
    <row r="24">
      <c r="B24" s="317"/>
      <c r="C24" s="108"/>
      <c r="D24" s="108"/>
      <c r="E24" s="108"/>
      <c r="F24" s="174"/>
      <c r="H24" s="318" t="str">
        <f t="shared" si="1"/>
        <v>Thursday</v>
      </c>
      <c r="I24" s="319">
        <v>45946.0</v>
      </c>
      <c r="J24" s="170">
        <f t="array" ref="J24">sum(IF(($P$3:$P$100=I24), $T$3:$T$100, 0))</f>
        <v>330</v>
      </c>
      <c r="L24" s="137" t="s">
        <v>84</v>
      </c>
      <c r="M24" s="86"/>
      <c r="N24" s="138">
        <f>sum(N26:N31)</f>
        <v>0</v>
      </c>
      <c r="P24" s="315">
        <v>45935.0</v>
      </c>
      <c r="Q24" s="316" t="s">
        <v>131</v>
      </c>
      <c r="R24" s="316" t="s">
        <v>148</v>
      </c>
      <c r="S24" s="316" t="s">
        <v>51</v>
      </c>
      <c r="T24" s="316">
        <v>15.0</v>
      </c>
      <c r="U24" s="330"/>
      <c r="V24" s="136"/>
    </row>
    <row r="25">
      <c r="B25" s="317"/>
      <c r="C25" s="112"/>
      <c r="D25" s="112"/>
      <c r="E25" s="108"/>
      <c r="F25" s="174"/>
      <c r="H25" s="318" t="str">
        <f t="shared" si="1"/>
        <v>Friday</v>
      </c>
      <c r="I25" s="319">
        <v>45947.0</v>
      </c>
      <c r="J25" s="170">
        <f t="array" ref="J25">sum(IF(($P$3:$P$100=I25), $T$3:$T$100, 0))</f>
        <v>50</v>
      </c>
      <c r="L25" s="139" t="s">
        <v>6</v>
      </c>
      <c r="M25" s="140" t="s">
        <v>85</v>
      </c>
      <c r="N25" s="141" t="s">
        <v>35</v>
      </c>
      <c r="P25" s="315">
        <v>45935.0</v>
      </c>
      <c r="Q25" s="316" t="s">
        <v>119</v>
      </c>
      <c r="R25" s="316" t="s">
        <v>138</v>
      </c>
      <c r="S25" s="316" t="s">
        <v>51</v>
      </c>
      <c r="T25" s="316">
        <f>130+50</f>
        <v>180</v>
      </c>
      <c r="U25" s="330"/>
      <c r="V25" s="136"/>
    </row>
    <row r="26">
      <c r="B26" s="317"/>
      <c r="C26" s="112"/>
      <c r="D26" s="112"/>
      <c r="E26" s="108"/>
      <c r="F26" s="174"/>
      <c r="H26" s="318" t="str">
        <f t="shared" si="1"/>
        <v>Saturday</v>
      </c>
      <c r="I26" s="319">
        <v>45948.0</v>
      </c>
      <c r="J26" s="170">
        <f t="array" ref="J26">sum(IF(($P$3:$P$100=I26), $T$3:$T$100, 0))</f>
        <v>3819</v>
      </c>
      <c r="L26" s="152"/>
      <c r="M26" s="47"/>
      <c r="N26" s="48"/>
      <c r="P26" s="315">
        <v>45936.0</v>
      </c>
      <c r="Q26" s="316" t="s">
        <v>123</v>
      </c>
      <c r="R26" s="316" t="s">
        <v>144</v>
      </c>
      <c r="S26" s="316" t="s">
        <v>51</v>
      </c>
      <c r="T26" s="316">
        <f>130+40</f>
        <v>170</v>
      </c>
      <c r="U26" s="330"/>
      <c r="V26" s="136"/>
    </row>
    <row r="27">
      <c r="B27" s="317"/>
      <c r="C27" s="112"/>
      <c r="D27" s="112"/>
      <c r="E27" s="108"/>
      <c r="F27" s="174"/>
      <c r="H27" s="318" t="str">
        <f t="shared" si="1"/>
        <v>Sunday</v>
      </c>
      <c r="I27" s="319">
        <v>45949.0</v>
      </c>
      <c r="J27" s="170">
        <f t="array" ref="J27">sum(IF(($P$3:$P$100=I27), $T$3:$T$100, 0))</f>
        <v>1515</v>
      </c>
      <c r="L27" s="152"/>
      <c r="M27" s="47"/>
      <c r="N27" s="48"/>
      <c r="P27" s="315">
        <v>45937.0</v>
      </c>
      <c r="Q27" s="316" t="s">
        <v>131</v>
      </c>
      <c r="R27" s="316" t="s">
        <v>148</v>
      </c>
      <c r="S27" s="316" t="s">
        <v>51</v>
      </c>
      <c r="T27" s="316">
        <v>15.0</v>
      </c>
      <c r="U27" s="330"/>
      <c r="V27" s="136"/>
    </row>
    <row r="28">
      <c r="B28" s="317"/>
      <c r="C28" s="112"/>
      <c r="D28" s="112"/>
      <c r="E28" s="108"/>
      <c r="F28" s="174"/>
      <c r="H28" s="318" t="str">
        <f t="shared" si="1"/>
        <v>Monday</v>
      </c>
      <c r="I28" s="319">
        <v>45950.0</v>
      </c>
      <c r="J28" s="170">
        <f t="array" ref="J28">sum(IF(($P$3:$P$100=I28), $T$3:$T$100, 0))</f>
        <v>0</v>
      </c>
      <c r="L28" s="152"/>
      <c r="M28" s="47"/>
      <c r="N28" s="48"/>
      <c r="P28" s="315">
        <v>45938.0</v>
      </c>
      <c r="Q28" s="316" t="s">
        <v>119</v>
      </c>
      <c r="R28" s="316" t="s">
        <v>138</v>
      </c>
      <c r="S28" s="316" t="s">
        <v>51</v>
      </c>
      <c r="T28" s="316">
        <f>100+50</f>
        <v>150</v>
      </c>
      <c r="U28" s="330"/>
      <c r="V28" s="136"/>
    </row>
    <row r="29">
      <c r="B29" s="317"/>
      <c r="C29" s="108"/>
      <c r="D29" s="108"/>
      <c r="E29" s="108"/>
      <c r="F29" s="174"/>
      <c r="H29" s="318" t="str">
        <f t="shared" si="1"/>
        <v>Tuesday</v>
      </c>
      <c r="I29" s="319">
        <v>45951.0</v>
      </c>
      <c r="J29" s="170">
        <f t="array" ref="J29">sum(IF(($P$3:$P$100=I29), $T$3:$T$100, 0))</f>
        <v>0</v>
      </c>
      <c r="L29" s="152"/>
      <c r="M29" s="47"/>
      <c r="N29" s="48"/>
      <c r="P29" s="315">
        <v>45939.0</v>
      </c>
      <c r="Q29" s="316" t="s">
        <v>131</v>
      </c>
      <c r="R29" s="316" t="s">
        <v>148</v>
      </c>
      <c r="S29" s="316" t="s">
        <v>51</v>
      </c>
      <c r="T29" s="316">
        <f>15+15</f>
        <v>30</v>
      </c>
      <c r="U29" s="330"/>
      <c r="V29" s="136"/>
    </row>
    <row r="30">
      <c r="B30" s="317"/>
      <c r="C30" s="112"/>
      <c r="D30" s="112"/>
      <c r="E30" s="108"/>
      <c r="F30" s="174"/>
      <c r="H30" s="318" t="str">
        <f t="shared" si="1"/>
        <v>Wednesday</v>
      </c>
      <c r="I30" s="319">
        <v>45952.0</v>
      </c>
      <c r="J30" s="170">
        <f t="array" ref="J30">sum(IF(($P$3:$P$100=I30), $T$3:$T$100, 0))</f>
        <v>0</v>
      </c>
      <c r="L30" s="152"/>
      <c r="M30" s="47"/>
      <c r="N30" s="48"/>
      <c r="P30" s="315">
        <v>45940.0</v>
      </c>
      <c r="Q30" s="316" t="s">
        <v>131</v>
      </c>
      <c r="R30" s="316" t="s">
        <v>131</v>
      </c>
      <c r="S30" s="316" t="s">
        <v>51</v>
      </c>
      <c r="T30" s="316">
        <f>600+1100</f>
        <v>1700</v>
      </c>
      <c r="U30" s="330"/>
      <c r="V30" s="136"/>
    </row>
    <row r="31">
      <c r="B31" s="317"/>
      <c r="C31" s="108"/>
      <c r="D31" s="108"/>
      <c r="E31" s="108"/>
      <c r="F31" s="174"/>
      <c r="H31" s="318" t="str">
        <f t="shared" si="1"/>
        <v>Thursday</v>
      </c>
      <c r="I31" s="319">
        <v>45953.0</v>
      </c>
      <c r="J31" s="170">
        <f t="array" ref="J31">sum(IF(($P$3:$P$100=I31), $T$3:$T$100, 0))</f>
        <v>0</v>
      </c>
      <c r="L31" s="153"/>
      <c r="M31" s="154"/>
      <c r="N31" s="68"/>
      <c r="P31" s="315">
        <v>45940.0</v>
      </c>
      <c r="Q31" s="316" t="s">
        <v>131</v>
      </c>
      <c r="R31" s="316" t="s">
        <v>23</v>
      </c>
      <c r="S31" s="316" t="s">
        <v>51</v>
      </c>
      <c r="T31" s="316">
        <v>30.0</v>
      </c>
      <c r="U31" s="330"/>
      <c r="V31" s="136"/>
    </row>
    <row r="32">
      <c r="B32" s="317"/>
      <c r="C32" s="108"/>
      <c r="D32" s="108"/>
      <c r="E32" s="108"/>
      <c r="F32" s="174"/>
      <c r="H32" s="318" t="str">
        <f t="shared" si="1"/>
        <v>Friday</v>
      </c>
      <c r="I32" s="319">
        <v>45954.0</v>
      </c>
      <c r="J32" s="170">
        <f t="array" ref="J32">sum(IF(($P$3:$P$100=I32), $T$3:$T$100, 0))</f>
        <v>0</v>
      </c>
      <c r="P32" s="315">
        <v>45940.0</v>
      </c>
      <c r="Q32" s="316" t="s">
        <v>123</v>
      </c>
      <c r="R32" s="316" t="s">
        <v>144</v>
      </c>
      <c r="S32" s="316" t="s">
        <v>51</v>
      </c>
      <c r="T32" s="316">
        <f>70+10</f>
        <v>80</v>
      </c>
      <c r="U32" s="330"/>
      <c r="V32" s="136"/>
    </row>
    <row r="33">
      <c r="B33" s="317"/>
      <c r="C33" s="108"/>
      <c r="D33" s="108"/>
      <c r="E33" s="108"/>
      <c r="F33" s="174"/>
      <c r="H33" s="318" t="str">
        <f t="shared" si="1"/>
        <v>Saturday</v>
      </c>
      <c r="I33" s="319">
        <v>45955.0</v>
      </c>
      <c r="J33" s="170">
        <f t="array" ref="J33">sum(IF(($P$3:$P$100=I33), $T$3:$T$100, 0))</f>
        <v>0</v>
      </c>
      <c r="L33" s="137"/>
      <c r="M33" s="86"/>
      <c r="N33" s="138">
        <f>sum(N35:N40)</f>
        <v>0</v>
      </c>
      <c r="P33" s="315">
        <v>45940.0</v>
      </c>
      <c r="Q33" s="316" t="s">
        <v>26</v>
      </c>
      <c r="R33" s="316" t="s">
        <v>26</v>
      </c>
      <c r="S33" s="316" t="s">
        <v>51</v>
      </c>
      <c r="T33" s="316">
        <v>20.0</v>
      </c>
      <c r="U33" s="330"/>
      <c r="V33" s="136"/>
    </row>
    <row r="34">
      <c r="B34" s="317"/>
      <c r="C34" s="112"/>
      <c r="D34" s="112"/>
      <c r="E34" s="108"/>
      <c r="F34" s="174"/>
      <c r="H34" s="318" t="str">
        <f t="shared" si="1"/>
        <v>Sunday</v>
      </c>
      <c r="I34" s="319">
        <v>45956.0</v>
      </c>
      <c r="J34" s="170">
        <f t="array" ref="J34">sum(IF(($P$3:$P$100=I34), $T$3:$T$100, 0))</f>
        <v>0</v>
      </c>
      <c r="L34" s="139"/>
      <c r="M34" s="140"/>
      <c r="N34" s="141"/>
      <c r="P34" s="315">
        <v>45940.0</v>
      </c>
      <c r="Q34" s="316" t="s">
        <v>114</v>
      </c>
      <c r="R34" s="316" t="s">
        <v>118</v>
      </c>
      <c r="S34" s="316" t="s">
        <v>136</v>
      </c>
      <c r="T34" s="316">
        <v>1000.0</v>
      </c>
      <c r="U34" s="330"/>
      <c r="V34" s="136"/>
    </row>
    <row r="35">
      <c r="B35" s="317"/>
      <c r="C35" s="112"/>
      <c r="D35" s="112"/>
      <c r="E35" s="108"/>
      <c r="F35" s="174"/>
      <c r="H35" s="318" t="str">
        <f t="shared" si="1"/>
        <v>Monday</v>
      </c>
      <c r="I35" s="319">
        <v>45957.0</v>
      </c>
      <c r="J35" s="170">
        <f t="array" ref="J35">sum(IF(($P$3:$P$100=I35), $T$3:$T$100, 0))</f>
        <v>0</v>
      </c>
      <c r="L35" s="293"/>
      <c r="M35" s="316"/>
      <c r="N35" s="341"/>
      <c r="P35" s="315">
        <v>45939.0</v>
      </c>
      <c r="Q35" s="316" t="s">
        <v>131</v>
      </c>
      <c r="R35" s="316" t="s">
        <v>131</v>
      </c>
      <c r="S35" s="316" t="s">
        <v>136</v>
      </c>
      <c r="T35" s="316">
        <v>2470.0</v>
      </c>
      <c r="U35" s="330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315">
        <v>45935.0</v>
      </c>
      <c r="Q36" s="316" t="s">
        <v>127</v>
      </c>
      <c r="R36" s="316" t="s">
        <v>147</v>
      </c>
      <c r="S36" s="316" t="s">
        <v>12</v>
      </c>
      <c r="T36" s="316">
        <f>50+319</f>
        <v>369</v>
      </c>
      <c r="U36" s="330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315">
        <v>45935.0</v>
      </c>
      <c r="Q37" s="316" t="s">
        <v>127</v>
      </c>
      <c r="R37" s="316" t="s">
        <v>146</v>
      </c>
      <c r="S37" s="316" t="s">
        <v>12</v>
      </c>
      <c r="T37" s="316">
        <v>50.0</v>
      </c>
      <c r="U37" s="330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315">
        <v>45941.0</v>
      </c>
      <c r="Q38" s="316" t="s">
        <v>134</v>
      </c>
      <c r="R38" s="316" t="s">
        <v>116</v>
      </c>
      <c r="S38" s="316" t="s">
        <v>120</v>
      </c>
      <c r="T38" s="316">
        <v>2500.0</v>
      </c>
      <c r="U38" s="398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/>
      <c r="M39" s="289"/>
      <c r="N39" s="128"/>
      <c r="P39" s="315">
        <v>45942.0</v>
      </c>
      <c r="Q39" s="316" t="s">
        <v>119</v>
      </c>
      <c r="R39" s="316" t="s">
        <v>135</v>
      </c>
      <c r="S39" s="316" t="s">
        <v>51</v>
      </c>
      <c r="T39" s="316">
        <f>2100+2000+370+730</f>
        <v>5200</v>
      </c>
      <c r="U39" s="330"/>
      <c r="V39" s="136"/>
    </row>
    <row r="40">
      <c r="P40" s="399">
        <v>45942.0</v>
      </c>
      <c r="Q40" s="316" t="s">
        <v>119</v>
      </c>
      <c r="R40" s="316" t="s">
        <v>138</v>
      </c>
      <c r="S40" s="316" t="s">
        <v>51</v>
      </c>
      <c r="T40" s="316">
        <v>500.0</v>
      </c>
      <c r="U40" s="398"/>
      <c r="V40" s="136"/>
    </row>
    <row r="41">
      <c r="P41" s="315">
        <v>45942.0</v>
      </c>
      <c r="Q41" s="316" t="s">
        <v>131</v>
      </c>
      <c r="R41" s="316" t="s">
        <v>23</v>
      </c>
      <c r="S41" s="316" t="s">
        <v>51</v>
      </c>
      <c r="T41" s="316">
        <v>30.0</v>
      </c>
      <c r="U41" s="253"/>
      <c r="V41" s="136"/>
    </row>
    <row r="42">
      <c r="B42" s="347" t="s">
        <v>173</v>
      </c>
      <c r="C42" s="86"/>
      <c r="D42" s="86"/>
      <c r="E42" s="86"/>
      <c r="F42" s="86"/>
      <c r="G42" s="86"/>
      <c r="H42" s="86"/>
      <c r="I42" s="86"/>
      <c r="J42" s="86"/>
      <c r="K42" s="81"/>
      <c r="P42" s="315">
        <v>45944.0</v>
      </c>
      <c r="Q42" s="316" t="s">
        <v>131</v>
      </c>
      <c r="R42" s="316" t="s">
        <v>148</v>
      </c>
      <c r="S42" s="316" t="s">
        <v>51</v>
      </c>
      <c r="T42" s="316">
        <f>15*3</f>
        <v>45</v>
      </c>
      <c r="U42" s="253"/>
      <c r="V42" s="136"/>
    </row>
    <row r="43">
      <c r="B43" s="348"/>
      <c r="C43" s="94"/>
      <c r="D43" s="94"/>
      <c r="E43" s="94"/>
      <c r="F43" s="94"/>
      <c r="G43" s="94"/>
      <c r="H43" s="94"/>
      <c r="I43" s="94"/>
      <c r="J43" s="94"/>
      <c r="K43" s="93"/>
      <c r="P43" s="315">
        <v>45942.0</v>
      </c>
      <c r="Q43" s="316" t="s">
        <v>123</v>
      </c>
      <c r="R43" s="316" t="s">
        <v>123</v>
      </c>
      <c r="S43" s="316" t="s">
        <v>51</v>
      </c>
      <c r="T43" s="316">
        <v>360.0</v>
      </c>
      <c r="U43" s="330"/>
      <c r="V43" s="136"/>
    </row>
    <row r="44">
      <c r="B44" s="349" t="s">
        <v>107</v>
      </c>
      <c r="C44" s="158"/>
      <c r="D44" s="159"/>
      <c r="E44" s="350" t="s">
        <v>43</v>
      </c>
      <c r="F44" s="351" t="s">
        <v>108</v>
      </c>
      <c r="G44" s="158"/>
      <c r="H44" s="159"/>
      <c r="I44" s="350" t="s">
        <v>43</v>
      </c>
      <c r="J44" s="352" t="s">
        <v>4</v>
      </c>
      <c r="K44" s="159"/>
      <c r="L44" s="386" t="s">
        <v>206</v>
      </c>
      <c r="P44" s="315">
        <v>45945.0</v>
      </c>
      <c r="Q44" s="316" t="s">
        <v>131</v>
      </c>
      <c r="R44" s="316" t="s">
        <v>23</v>
      </c>
      <c r="S44" s="316" t="s">
        <v>51</v>
      </c>
      <c r="T44" s="316">
        <f>180+60-40</f>
        <v>200</v>
      </c>
      <c r="U44" s="330" t="s">
        <v>230</v>
      </c>
      <c r="V44" s="136"/>
    </row>
    <row r="45">
      <c r="B45" s="387" t="s">
        <v>114</v>
      </c>
      <c r="C45" s="86"/>
      <c r="D45" s="81"/>
      <c r="E45" s="388">
        <f>Sum(I45:I50)</f>
        <v>17170</v>
      </c>
      <c r="F45" s="389" t="str">
        <f t="array" ref="F45:F73">INDIRECT("Subcategory")</f>
        <v>HouseRent</v>
      </c>
      <c r="G45" s="86"/>
      <c r="H45" s="81"/>
      <c r="I45" s="350">
        <v>13000.0</v>
      </c>
      <c r="J45" s="390">
        <f t="array" ref="J45">sum(IF(($R$3:$R$100=F45), $T$3:$T$100, 0))</f>
        <v>13000</v>
      </c>
      <c r="K45" s="159"/>
      <c r="L45" s="356">
        <f>sum(J45:J50)</f>
        <v>17189</v>
      </c>
      <c r="M45" s="298">
        <f>I45+I48+I50</f>
        <v>14880</v>
      </c>
      <c r="P45" s="315">
        <v>45946.0</v>
      </c>
      <c r="Q45" s="316" t="s">
        <v>131</v>
      </c>
      <c r="R45" s="316" t="s">
        <v>148</v>
      </c>
      <c r="S45" s="316" t="s">
        <v>51</v>
      </c>
      <c r="T45" s="316">
        <f>15+15</f>
        <v>30</v>
      </c>
      <c r="U45" s="253"/>
      <c r="V45" s="136"/>
    </row>
    <row r="46">
      <c r="B46" s="358"/>
      <c r="D46" s="359"/>
      <c r="E46" s="360"/>
      <c r="F46" s="391" t="s">
        <v>118</v>
      </c>
      <c r="H46" s="359"/>
      <c r="I46" s="380">
        <v>1000.0</v>
      </c>
      <c r="J46" s="390">
        <f t="array" ref="J46">sum(IF(($R$3:$R$100=F46), $T$3:$T$100, 0))</f>
        <v>1000</v>
      </c>
      <c r="K46" s="159"/>
      <c r="L46" s="360"/>
      <c r="P46" s="315">
        <v>45947.0</v>
      </c>
      <c r="Q46" s="316" t="s">
        <v>131</v>
      </c>
      <c r="R46" s="316" t="s">
        <v>23</v>
      </c>
      <c r="S46" s="316" t="s">
        <v>51</v>
      </c>
      <c r="T46" s="316">
        <v>50.0</v>
      </c>
      <c r="U46" s="253"/>
      <c r="V46" s="136"/>
    </row>
    <row r="47">
      <c r="B47" s="358"/>
      <c r="D47" s="359"/>
      <c r="E47" s="360"/>
      <c r="F47" s="391" t="s">
        <v>122</v>
      </c>
      <c r="H47" s="359"/>
      <c r="I47" s="380">
        <v>450.0</v>
      </c>
      <c r="J47" s="390">
        <f t="array" ref="J47">sum(IF(($R$3:$R$100=F47), $T$3:$T$100, 0))</f>
        <v>469</v>
      </c>
      <c r="K47" s="159"/>
      <c r="L47" s="360"/>
      <c r="P47" s="315">
        <v>45948.0</v>
      </c>
      <c r="Q47" s="316" t="s">
        <v>123</v>
      </c>
      <c r="R47" s="316" t="s">
        <v>123</v>
      </c>
      <c r="S47" s="316" t="s">
        <v>51</v>
      </c>
      <c r="T47" s="316">
        <f>540+700+250+80+90</f>
        <v>1660</v>
      </c>
      <c r="U47" s="253"/>
      <c r="V47" s="136"/>
    </row>
    <row r="48">
      <c r="B48" s="358"/>
      <c r="D48" s="359"/>
      <c r="E48" s="360"/>
      <c r="F48" s="391" t="s">
        <v>126</v>
      </c>
      <c r="H48" s="359"/>
      <c r="I48" s="350">
        <v>1080.0</v>
      </c>
      <c r="J48" s="390">
        <f t="array" ref="J48">sum(IF(($R$3:$R$100=F48), $T$3:$T$100, 0))</f>
        <v>1080</v>
      </c>
      <c r="K48" s="159"/>
      <c r="L48" s="360"/>
      <c r="P48" s="315">
        <v>45948.0</v>
      </c>
      <c r="Q48" s="316" t="s">
        <v>119</v>
      </c>
      <c r="R48" s="316" t="s">
        <v>135</v>
      </c>
      <c r="S48" s="316" t="s">
        <v>51</v>
      </c>
      <c r="T48" s="316">
        <f>580+200+40</f>
        <v>820</v>
      </c>
      <c r="U48" s="330"/>
      <c r="V48" s="136"/>
    </row>
    <row r="49">
      <c r="B49" s="358"/>
      <c r="D49" s="359"/>
      <c r="E49" s="360"/>
      <c r="F49" s="391" t="s">
        <v>130</v>
      </c>
      <c r="H49" s="359"/>
      <c r="I49" s="380">
        <v>840.0</v>
      </c>
      <c r="J49" s="390">
        <f t="array" ref="J49">sum(IF(($R$3:$R$100=F49), $T$3:$T$100, 0))</f>
        <v>840</v>
      </c>
      <c r="K49" s="159"/>
      <c r="L49" s="360"/>
      <c r="P49" s="315">
        <v>45948.0</v>
      </c>
      <c r="Q49" s="316" t="s">
        <v>119</v>
      </c>
      <c r="R49" s="316" t="s">
        <v>142</v>
      </c>
      <c r="S49" s="316" t="s">
        <v>51</v>
      </c>
      <c r="T49" s="316">
        <v>30.0</v>
      </c>
      <c r="U49" s="253"/>
      <c r="V49" s="136"/>
    </row>
    <row r="50">
      <c r="B50" s="348"/>
      <c r="C50" s="94"/>
      <c r="D50" s="93"/>
      <c r="E50" s="14"/>
      <c r="F50" s="392" t="s">
        <v>133</v>
      </c>
      <c r="G50" s="94"/>
      <c r="H50" s="93"/>
      <c r="I50" s="350">
        <f>200+600</f>
        <v>800</v>
      </c>
      <c r="J50" s="390">
        <f t="array" ref="J50">sum(IF(($R$3:$R$100=F50), $T$3:$T$100, 0))</f>
        <v>800</v>
      </c>
      <c r="K50" s="159"/>
      <c r="L50" s="14"/>
      <c r="P50" s="315">
        <v>45949.0</v>
      </c>
      <c r="Q50" s="316" t="s">
        <v>131</v>
      </c>
      <c r="R50" s="316" t="s">
        <v>148</v>
      </c>
      <c r="S50" s="316" t="s">
        <v>51</v>
      </c>
      <c r="T50" s="316">
        <v>15.0</v>
      </c>
      <c r="U50" s="253"/>
      <c r="V50" s="136"/>
    </row>
    <row r="51">
      <c r="B51" s="353" t="s">
        <v>119</v>
      </c>
      <c r="C51" s="86"/>
      <c r="D51" s="81"/>
      <c r="E51" s="356">
        <f>Sum(I51:I54)</f>
        <v>12000</v>
      </c>
      <c r="F51" s="355" t="s">
        <v>135</v>
      </c>
      <c r="G51" s="86"/>
      <c r="H51" s="81"/>
      <c r="I51" s="378">
        <v>2000.0</v>
      </c>
      <c r="J51" s="379">
        <f t="array" ref="J51">sum(IF(($R$3:$R$100=F51), $T$3:$T$100, 0))</f>
        <v>7400</v>
      </c>
      <c r="K51" s="159"/>
      <c r="L51" s="356">
        <f>sum(J51:J54)</f>
        <v>15550</v>
      </c>
      <c r="P51" s="315">
        <v>45949.0</v>
      </c>
      <c r="Q51" s="316" t="s">
        <v>131</v>
      </c>
      <c r="R51" s="316" t="s">
        <v>145</v>
      </c>
      <c r="S51" s="316" t="s">
        <v>51</v>
      </c>
      <c r="T51" s="316">
        <f>240+170</f>
        <v>410</v>
      </c>
      <c r="U51" s="253"/>
      <c r="V51" s="136"/>
    </row>
    <row r="52">
      <c r="B52" s="358"/>
      <c r="D52" s="359"/>
      <c r="E52" s="360"/>
      <c r="F52" s="361" t="s">
        <v>138</v>
      </c>
      <c r="H52" s="359"/>
      <c r="I52" s="378">
        <v>1000.0</v>
      </c>
      <c r="J52" s="379">
        <f t="array" ref="J52">sum(IF(($R$3:$R$100=F52), $T$3:$T$100, 0))</f>
        <v>1180</v>
      </c>
      <c r="K52" s="159"/>
      <c r="L52" s="360"/>
      <c r="P52" s="315">
        <v>45949.0</v>
      </c>
      <c r="Q52" s="316" t="s">
        <v>123</v>
      </c>
      <c r="R52" s="316" t="s">
        <v>144</v>
      </c>
      <c r="S52" s="316" t="s">
        <v>51</v>
      </c>
      <c r="T52" s="316">
        <f>70+110</f>
        <v>180</v>
      </c>
      <c r="U52" s="253"/>
      <c r="V52" s="136"/>
    </row>
    <row r="53">
      <c r="B53" s="358"/>
      <c r="D53" s="359"/>
      <c r="E53" s="360"/>
      <c r="F53" s="361" t="s">
        <v>141</v>
      </c>
      <c r="H53" s="359"/>
      <c r="I53" s="378">
        <v>8000.0</v>
      </c>
      <c r="J53" s="379">
        <f t="array" ref="J53">sum(IF(($R$3:$R$100=F53), $T$3:$T$100, 0))</f>
        <v>5820</v>
      </c>
      <c r="K53" s="159"/>
      <c r="L53" s="360"/>
      <c r="P53" s="315">
        <v>45945.0</v>
      </c>
      <c r="Q53" s="316" t="s">
        <v>131</v>
      </c>
      <c r="R53" s="316" t="s">
        <v>131</v>
      </c>
      <c r="S53" s="316" t="s">
        <v>120</v>
      </c>
      <c r="T53" s="316">
        <f>24545-305</f>
        <v>24240</v>
      </c>
      <c r="U53" s="253"/>
      <c r="V53" s="136"/>
    </row>
    <row r="54">
      <c r="B54" s="348"/>
      <c r="C54" s="94"/>
      <c r="D54" s="93"/>
      <c r="E54" s="14"/>
      <c r="F54" s="364" t="s">
        <v>142</v>
      </c>
      <c r="G54" s="94"/>
      <c r="H54" s="93"/>
      <c r="I54" s="378">
        <v>1000.0</v>
      </c>
      <c r="J54" s="379">
        <f t="array" ref="J54">sum(IF(($R$3:$R$100=F54), $T$3:$T$100, 0))</f>
        <v>1150</v>
      </c>
      <c r="K54" s="159"/>
      <c r="L54" s="14"/>
      <c r="P54" s="315">
        <v>45946.0</v>
      </c>
      <c r="Q54" s="316" t="s">
        <v>26</v>
      </c>
      <c r="R54" s="316" t="s">
        <v>26</v>
      </c>
      <c r="S54" s="316" t="s">
        <v>12</v>
      </c>
      <c r="T54" s="316">
        <v>300.0</v>
      </c>
      <c r="U54" s="253"/>
      <c r="V54" s="136"/>
    </row>
    <row r="55">
      <c r="B55" s="353" t="s">
        <v>123</v>
      </c>
      <c r="C55" s="86"/>
      <c r="D55" s="81"/>
      <c r="E55" s="356">
        <f>sum(I55:I57)</f>
        <v>3400</v>
      </c>
      <c r="F55" s="355" t="s">
        <v>123</v>
      </c>
      <c r="G55" s="86"/>
      <c r="H55" s="81"/>
      <c r="I55" s="382">
        <v>200.0</v>
      </c>
      <c r="J55" s="379">
        <f t="array" ref="J55">sum(IF(($R$3:$R$100=F55), $T$3:$T$100, 0))</f>
        <v>2020</v>
      </c>
      <c r="K55" s="159"/>
      <c r="L55" s="356">
        <f>sum(J55:J58)</f>
        <v>5785</v>
      </c>
      <c r="P55" s="315">
        <v>45948.0</v>
      </c>
      <c r="Q55" s="316" t="s">
        <v>114</v>
      </c>
      <c r="R55" s="316" t="s">
        <v>130</v>
      </c>
      <c r="S55" s="316" t="s">
        <v>12</v>
      </c>
      <c r="T55" s="316">
        <v>840.0</v>
      </c>
      <c r="U55" s="330"/>
      <c r="V55" s="136"/>
    </row>
    <row r="56">
      <c r="B56" s="358"/>
      <c r="D56" s="359"/>
      <c r="E56" s="360"/>
      <c r="F56" s="361" t="s">
        <v>144</v>
      </c>
      <c r="H56" s="359"/>
      <c r="I56" s="378">
        <v>200.0</v>
      </c>
      <c r="J56" s="379">
        <f t="array" ref="J56">sum(IF(($R$3:$R$100=F56), $T$3:$T$100, 0))</f>
        <v>515</v>
      </c>
      <c r="K56" s="159"/>
      <c r="L56" s="360"/>
      <c r="P56" s="315">
        <v>45948.0</v>
      </c>
      <c r="Q56" s="316" t="s">
        <v>114</v>
      </c>
      <c r="R56" s="316" t="s">
        <v>122</v>
      </c>
      <c r="S56" s="316" t="s">
        <v>12</v>
      </c>
      <c r="T56" s="316">
        <v>469.0</v>
      </c>
      <c r="U56" s="253"/>
      <c r="V56" s="136"/>
    </row>
    <row r="57">
      <c r="B57" s="348"/>
      <c r="C57" s="94"/>
      <c r="D57" s="93"/>
      <c r="E57" s="14"/>
      <c r="F57" s="364" t="s">
        <v>145</v>
      </c>
      <c r="G57" s="94"/>
      <c r="H57" s="93"/>
      <c r="I57" s="378">
        <v>3000.0</v>
      </c>
      <c r="J57" s="379">
        <f t="array" ref="J57">sum(IF(($R$3:$R$100=F57), $T$3:$T$100, 0))</f>
        <v>3200</v>
      </c>
      <c r="K57" s="159"/>
      <c r="L57" s="14"/>
      <c r="P57" s="315">
        <v>45949.0</v>
      </c>
      <c r="Q57" s="316" t="s">
        <v>26</v>
      </c>
      <c r="R57" s="316" t="s">
        <v>151</v>
      </c>
      <c r="S57" s="316" t="s">
        <v>51</v>
      </c>
      <c r="T57" s="316">
        <v>910.0</v>
      </c>
      <c r="U57" s="253"/>
      <c r="V57" s="136"/>
    </row>
    <row r="58">
      <c r="B58" s="353" t="s">
        <v>127</v>
      </c>
      <c r="C58" s="86"/>
      <c r="D58" s="81"/>
      <c r="E58" s="354">
        <f>I58+I59</f>
        <v>400</v>
      </c>
      <c r="F58" s="355" t="s">
        <v>146</v>
      </c>
      <c r="G58" s="86"/>
      <c r="H58" s="81"/>
      <c r="I58" s="380">
        <v>100.0</v>
      </c>
      <c r="J58" s="379">
        <f t="array" ref="J58">sum(IF(($R$3:$R$100=F58), $T$3:$T$100, 0))</f>
        <v>50</v>
      </c>
      <c r="K58" s="159"/>
      <c r="L58" s="393"/>
      <c r="P58" s="315"/>
      <c r="Q58" s="316"/>
      <c r="R58" s="316"/>
      <c r="S58" s="316"/>
      <c r="T58" s="136"/>
      <c r="U58" s="253"/>
      <c r="V58" s="136"/>
    </row>
    <row r="59">
      <c r="B59" s="348"/>
      <c r="C59" s="94"/>
      <c r="D59" s="93"/>
      <c r="E59" s="14"/>
      <c r="F59" s="364" t="s">
        <v>147</v>
      </c>
      <c r="G59" s="94"/>
      <c r="H59" s="93"/>
      <c r="I59" s="380">
        <v>300.0</v>
      </c>
      <c r="J59" s="379">
        <f t="array" ref="J59">sum(IF(($R$3:$R$100=F59), $T$3:$T$100, 0))</f>
        <v>369</v>
      </c>
      <c r="K59" s="159"/>
      <c r="L59" s="14"/>
      <c r="P59" s="315"/>
      <c r="Q59" s="316"/>
      <c r="R59" s="316"/>
      <c r="S59" s="316"/>
      <c r="T59" s="316"/>
      <c r="U59" s="253"/>
      <c r="V59" s="136"/>
    </row>
    <row r="60">
      <c r="B60" s="353" t="s">
        <v>131</v>
      </c>
      <c r="C60" s="86"/>
      <c r="D60" s="81"/>
      <c r="E60" s="356"/>
      <c r="F60" s="355" t="s">
        <v>148</v>
      </c>
      <c r="G60" s="86"/>
      <c r="H60" s="81"/>
      <c r="I60" s="378">
        <v>200.0</v>
      </c>
      <c r="J60" s="379">
        <f t="array" ref="J60">sum(IF(($R$3:$R$100=F60), $T$3:$T$100, 0))</f>
        <v>150</v>
      </c>
      <c r="K60" s="159"/>
      <c r="L60" s="393"/>
      <c r="P60" s="315"/>
      <c r="Q60" s="316"/>
      <c r="R60" s="316"/>
      <c r="S60" s="316"/>
      <c r="T60" s="316"/>
      <c r="U60" s="253"/>
      <c r="V60" s="136"/>
    </row>
    <row r="61">
      <c r="B61" s="358"/>
      <c r="D61" s="359"/>
      <c r="E61" s="360"/>
      <c r="F61" s="361" t="s">
        <v>23</v>
      </c>
      <c r="H61" s="359"/>
      <c r="I61" s="378">
        <v>1000.0</v>
      </c>
      <c r="J61" s="379">
        <f t="array" ref="J61">sum(IF(($R$3:$R$100=F61), $T$3:$T$100, 0))</f>
        <v>310</v>
      </c>
      <c r="K61" s="159"/>
      <c r="L61" s="360"/>
      <c r="P61" s="315"/>
      <c r="Q61" s="316"/>
      <c r="R61" s="316"/>
      <c r="S61" s="316"/>
      <c r="T61" s="316"/>
      <c r="U61" s="253"/>
      <c r="V61" s="136"/>
    </row>
    <row r="62">
      <c r="B62" s="348"/>
      <c r="C62" s="94"/>
      <c r="D62" s="93"/>
      <c r="E62" s="14"/>
      <c r="F62" s="364" t="s">
        <v>149</v>
      </c>
      <c r="G62" s="94"/>
      <c r="H62" s="93"/>
      <c r="I62" s="378">
        <f>5000+25000</f>
        <v>30000</v>
      </c>
      <c r="J62" s="379">
        <f t="array" ref="J62">sum(IF(($R$3:$R$100=F62), $T$3:$T$100, 0))</f>
        <v>0</v>
      </c>
      <c r="K62" s="159"/>
      <c r="L62" s="14"/>
      <c r="P62" s="315"/>
      <c r="Q62" s="316"/>
      <c r="R62" s="316"/>
      <c r="S62" s="316"/>
      <c r="T62" s="316"/>
      <c r="U62" s="253"/>
      <c r="V62" s="136"/>
    </row>
    <row r="63">
      <c r="B63" s="367" t="s">
        <v>134</v>
      </c>
      <c r="D63" s="359"/>
      <c r="E63" s="362"/>
      <c r="F63" s="361" t="s">
        <v>150</v>
      </c>
      <c r="H63" s="359"/>
      <c r="I63" s="380">
        <v>2500.0</v>
      </c>
      <c r="J63" s="379">
        <f t="array" ref="J63">sum(IF(($R$3:$R$100=F63), $T$3:$T$100, 0))</f>
        <v>0</v>
      </c>
      <c r="K63" s="159"/>
      <c r="L63" s="393"/>
      <c r="P63" s="315"/>
      <c r="Q63" s="316"/>
      <c r="R63" s="316"/>
      <c r="S63" s="316"/>
      <c r="T63" s="316"/>
      <c r="U63" s="330"/>
      <c r="V63" s="136"/>
    </row>
    <row r="64">
      <c r="B64" s="358"/>
      <c r="D64" s="359"/>
      <c r="E64" s="360"/>
      <c r="F64" s="361" t="s">
        <v>131</v>
      </c>
      <c r="H64" s="359"/>
      <c r="I64" s="354">
        <v>0.0</v>
      </c>
      <c r="J64" s="394">
        <f t="array" ref="J64">sum(IF(($R$3:$R$100=F64), $T$3:$T$100, 0))</f>
        <v>30710</v>
      </c>
      <c r="K64" s="81"/>
      <c r="L64" s="14"/>
      <c r="P64" s="315"/>
      <c r="Q64" s="316"/>
      <c r="R64" s="316"/>
      <c r="S64" s="316"/>
      <c r="T64" s="316"/>
      <c r="U64" s="253"/>
      <c r="V64" s="136"/>
    </row>
    <row r="65">
      <c r="B65" s="353" t="s">
        <v>26</v>
      </c>
      <c r="C65" s="86"/>
      <c r="D65" s="86"/>
      <c r="E65" s="356"/>
      <c r="F65" s="355" t="s">
        <v>116</v>
      </c>
      <c r="G65" s="86"/>
      <c r="H65" s="81"/>
      <c r="I65" s="378">
        <v>30.0</v>
      </c>
      <c r="J65" s="357">
        <f t="array" ref="J65">sum(IF(($R$3:$R$100=F65), $T$3:$T$100, 0))</f>
        <v>2500</v>
      </c>
      <c r="K65" s="81"/>
      <c r="L65" s="393"/>
      <c r="P65" s="315"/>
      <c r="Q65" s="316"/>
      <c r="R65" s="316"/>
      <c r="S65" s="316"/>
      <c r="T65" s="316"/>
      <c r="U65" s="253"/>
      <c r="V65" s="136"/>
    </row>
    <row r="66">
      <c r="B66" s="348"/>
      <c r="C66" s="94"/>
      <c r="D66" s="94"/>
      <c r="E66" s="14"/>
      <c r="F66" s="395" t="s">
        <v>121</v>
      </c>
      <c r="G66" s="94"/>
      <c r="H66" s="93"/>
      <c r="I66" s="386">
        <v>0.0</v>
      </c>
      <c r="J66" s="357">
        <f t="array" ref="J66">sum(IF(($R$3:$R$100=F66), $T$3:$T$100, 0))</f>
        <v>0</v>
      </c>
      <c r="K66" s="81"/>
      <c r="L66" s="14"/>
      <c r="P66" s="315"/>
      <c r="Q66" s="316"/>
      <c r="R66" s="316"/>
      <c r="S66" s="316"/>
      <c r="T66" s="316"/>
      <c r="U66" s="253"/>
      <c r="V66" s="136"/>
    </row>
    <row r="67">
      <c r="B67" s="353" t="s">
        <v>139</v>
      </c>
      <c r="C67" s="86"/>
      <c r="D67" s="86"/>
      <c r="E67" s="356"/>
      <c r="F67" s="355" t="s">
        <v>125</v>
      </c>
      <c r="G67" s="86"/>
      <c r="H67" s="81"/>
      <c r="I67" s="380">
        <v>0.0</v>
      </c>
      <c r="J67" s="357">
        <f t="array" ref="J67">sum(IF(($R$3:$R$100=F67), $T$3:$T$100, 0))</f>
        <v>0</v>
      </c>
      <c r="K67" s="81"/>
      <c r="L67" s="393"/>
      <c r="P67" s="315"/>
      <c r="Q67" s="316"/>
      <c r="R67" s="316"/>
      <c r="S67" s="316"/>
      <c r="T67" s="316"/>
      <c r="U67" s="253"/>
      <c r="V67" s="136"/>
    </row>
    <row r="68">
      <c r="B68" s="348"/>
      <c r="C68" s="94"/>
      <c r="D68" s="94"/>
      <c r="E68" s="14"/>
      <c r="F68" s="395" t="s">
        <v>129</v>
      </c>
      <c r="G68" s="94"/>
      <c r="H68" s="93"/>
      <c r="I68" s="397">
        <v>0.0</v>
      </c>
      <c r="J68" s="371">
        <f t="array" ref="J68">sum(IF(($R$3:$R$100=F68), $T$3:$T$100, 0))</f>
        <v>0</v>
      </c>
      <c r="K68" s="159"/>
      <c r="L68" s="14"/>
      <c r="P68" s="315"/>
      <c r="Q68" s="316"/>
      <c r="R68" s="316"/>
      <c r="S68" s="316"/>
      <c r="T68" s="136"/>
      <c r="U68" s="253"/>
      <c r="V68" s="136"/>
    </row>
    <row r="69">
      <c r="F69" s="298" t="s">
        <v>132</v>
      </c>
      <c r="P69" s="315"/>
      <c r="Q69" s="316"/>
      <c r="R69" s="316"/>
      <c r="S69" s="316"/>
      <c r="T69" s="316"/>
      <c r="U69" s="253"/>
      <c r="V69" s="136"/>
    </row>
    <row r="70">
      <c r="F70" s="298" t="s">
        <v>26</v>
      </c>
      <c r="H70" s="10" t="s">
        <v>96</v>
      </c>
      <c r="I70" s="136">
        <f t="shared" ref="I70:J70" si="2">SUM(I45:I68)</f>
        <v>66700</v>
      </c>
      <c r="J70" s="136">
        <f t="shared" si="2"/>
        <v>72563</v>
      </c>
      <c r="L70" s="298">
        <f t="shared" ref="L70:L72" si="4">I70-J70</f>
        <v>-5863</v>
      </c>
      <c r="P70" s="315"/>
      <c r="Q70" s="316"/>
      <c r="R70" s="316"/>
      <c r="S70" s="316"/>
      <c r="T70" s="316"/>
      <c r="U70" s="253"/>
      <c r="V70" s="136"/>
    </row>
    <row r="71">
      <c r="F71" s="298" t="s">
        <v>151</v>
      </c>
      <c r="H71" s="10" t="s">
        <v>190</v>
      </c>
      <c r="I71" s="136">
        <f t="shared" ref="I71:J71" si="3">I46+I47+I49+I58+I59+I63+I67+I68</f>
        <v>5190</v>
      </c>
      <c r="J71" s="136">
        <f t="shared" si="3"/>
        <v>2728</v>
      </c>
      <c r="L71" s="298">
        <f t="shared" si="4"/>
        <v>2462</v>
      </c>
      <c r="P71" s="315"/>
      <c r="Q71" s="316"/>
      <c r="R71" s="316"/>
      <c r="S71" s="316"/>
      <c r="T71" s="316"/>
      <c r="U71" s="253"/>
      <c r="V71" s="136"/>
    </row>
    <row r="72">
      <c r="F72" s="298" t="s">
        <v>152</v>
      </c>
      <c r="H72" s="10" t="s">
        <v>51</v>
      </c>
      <c r="I72" s="136">
        <f t="shared" ref="I72:J72" si="5">I70-I71</f>
        <v>61510</v>
      </c>
      <c r="J72" s="136">
        <f t="shared" si="5"/>
        <v>69835</v>
      </c>
      <c r="L72" s="298">
        <f t="shared" si="4"/>
        <v>-8325</v>
      </c>
      <c r="P72" s="315"/>
      <c r="Q72" s="316"/>
      <c r="R72" s="316"/>
      <c r="S72" s="316"/>
      <c r="T72" s="316"/>
      <c r="U72" s="253"/>
      <c r="V72" s="136"/>
    </row>
    <row r="73">
      <c r="F73" s="298" t="s">
        <v>153</v>
      </c>
      <c r="P73" s="315"/>
      <c r="Q73" s="316"/>
      <c r="R73" s="316"/>
      <c r="S73" s="316"/>
      <c r="T73" s="316"/>
      <c r="U73" s="253"/>
      <c r="V73" s="136"/>
    </row>
    <row r="74">
      <c r="P74" s="315"/>
      <c r="Q74" s="316"/>
      <c r="R74" s="316"/>
      <c r="S74" s="316"/>
      <c r="T74" s="316"/>
      <c r="U74" s="253"/>
      <c r="V74" s="136"/>
    </row>
    <row r="75">
      <c r="P75" s="315"/>
      <c r="Q75" s="316"/>
      <c r="R75" s="316"/>
      <c r="S75" s="316"/>
      <c r="T75" s="316"/>
      <c r="U75" s="253"/>
      <c r="V75" s="136"/>
    </row>
    <row r="76">
      <c r="P76" s="315"/>
      <c r="Q76" s="316"/>
      <c r="R76" s="316"/>
      <c r="S76" s="316"/>
      <c r="T76" s="316"/>
      <c r="U76" s="253"/>
      <c r="V76" s="136"/>
    </row>
    <row r="77">
      <c r="P77" s="315"/>
      <c r="Q77" s="316"/>
      <c r="R77" s="316"/>
      <c r="S77" s="316"/>
      <c r="T77" s="316"/>
      <c r="U77" s="253"/>
      <c r="V77" s="136"/>
    </row>
    <row r="78">
      <c r="P78" s="315"/>
      <c r="Q78" s="316"/>
      <c r="R78" s="316"/>
      <c r="S78" s="316"/>
      <c r="T78" s="316"/>
      <c r="U78" s="253"/>
      <c r="V78" s="136"/>
    </row>
    <row r="79">
      <c r="P79" s="315"/>
      <c r="Q79" s="316"/>
      <c r="R79" s="316"/>
      <c r="S79" s="316"/>
      <c r="T79" s="316"/>
      <c r="U79" s="253"/>
      <c r="V79" s="136"/>
    </row>
    <row r="80">
      <c r="P80" s="315"/>
      <c r="Q80" s="316"/>
      <c r="R80" s="316"/>
      <c r="S80" s="316"/>
      <c r="T80" s="316"/>
      <c r="U80" s="253"/>
      <c r="V80" s="136"/>
    </row>
    <row r="81">
      <c r="P81" s="315"/>
      <c r="Q81" s="136"/>
      <c r="R81" s="136"/>
      <c r="S81" s="136"/>
      <c r="T81" s="136"/>
      <c r="U81" s="253"/>
      <c r="V81" s="136"/>
    </row>
    <row r="82">
      <c r="P82" s="315"/>
      <c r="Q82" s="136"/>
      <c r="R82" s="136"/>
      <c r="S82" s="136"/>
      <c r="T82" s="136"/>
      <c r="U82" s="253"/>
      <c r="V82" s="136"/>
    </row>
    <row r="83">
      <c r="P83" s="315"/>
      <c r="Q83" s="136"/>
      <c r="R83" s="136"/>
      <c r="S83" s="136"/>
      <c r="T83" s="136"/>
      <c r="U83" s="253"/>
      <c r="V83" s="136"/>
    </row>
    <row r="84">
      <c r="P84" s="252"/>
      <c r="Q84" s="136"/>
      <c r="R84" s="136"/>
      <c r="S84" s="136"/>
      <c r="T84" s="136"/>
      <c r="U84" s="253"/>
      <c r="V84" s="136"/>
    </row>
    <row r="85">
      <c r="P85" s="252"/>
      <c r="Q85" s="136"/>
      <c r="R85" s="136"/>
      <c r="S85" s="136"/>
      <c r="T85" s="136"/>
      <c r="U85" s="253"/>
      <c r="V85" s="136"/>
    </row>
    <row r="86">
      <c r="P86" s="252"/>
      <c r="Q86" s="136"/>
      <c r="R86" s="136"/>
      <c r="S86" s="136"/>
      <c r="T86" s="136"/>
      <c r="U86" s="253"/>
      <c r="V86" s="136"/>
    </row>
    <row r="87">
      <c r="P87" s="252"/>
      <c r="Q87" s="136"/>
      <c r="R87" s="136"/>
      <c r="S87" s="136"/>
      <c r="T87" s="136"/>
      <c r="U87" s="253"/>
      <c r="V87" s="136"/>
    </row>
    <row r="88">
      <c r="P88" s="252"/>
      <c r="Q88" s="136"/>
      <c r="R88" s="136"/>
      <c r="S88" s="136"/>
      <c r="T88" s="136"/>
      <c r="U88" s="253"/>
      <c r="V88" s="136"/>
    </row>
    <row r="89">
      <c r="P89" s="252"/>
      <c r="Q89" s="136"/>
      <c r="R89" s="136"/>
      <c r="S89" s="136"/>
      <c r="T89" s="136"/>
      <c r="U89" s="253"/>
      <c r="V89" s="136"/>
    </row>
    <row r="90">
      <c r="P90" s="252"/>
      <c r="Q90" s="136"/>
      <c r="R90" s="136"/>
      <c r="S90" s="136"/>
      <c r="T90" s="136"/>
      <c r="U90" s="253"/>
      <c r="V90" s="136"/>
    </row>
    <row r="91">
      <c r="P91" s="252"/>
      <c r="Q91" s="136"/>
      <c r="R91" s="136"/>
      <c r="S91" s="136"/>
      <c r="T91" s="136"/>
      <c r="U91" s="253"/>
      <c r="V91" s="136"/>
    </row>
    <row r="92">
      <c r="P92" s="252"/>
      <c r="Q92" s="136"/>
      <c r="R92" s="136"/>
      <c r="S92" s="136"/>
      <c r="T92" s="136"/>
      <c r="U92" s="253"/>
      <c r="V92" s="136"/>
    </row>
    <row r="93">
      <c r="P93" s="252"/>
      <c r="Q93" s="136"/>
      <c r="R93" s="136"/>
      <c r="S93" s="136"/>
      <c r="T93" s="136"/>
      <c r="U93" s="253"/>
      <c r="V93" s="136"/>
    </row>
    <row r="94">
      <c r="P94" s="252"/>
      <c r="Q94" s="136"/>
      <c r="R94" s="136"/>
      <c r="S94" s="136"/>
      <c r="T94" s="136"/>
      <c r="U94" s="253"/>
      <c r="V94" s="136"/>
    </row>
    <row r="95">
      <c r="P95" s="252"/>
      <c r="Q95" s="136"/>
      <c r="R95" s="136"/>
      <c r="S95" s="136"/>
      <c r="T95" s="136"/>
      <c r="U95" s="253"/>
      <c r="V95" s="136"/>
    </row>
    <row r="96">
      <c r="P96" s="252"/>
      <c r="Q96" s="136"/>
      <c r="R96" s="136"/>
      <c r="S96" s="136"/>
      <c r="T96" s="136"/>
      <c r="U96" s="253"/>
      <c r="V96" s="136"/>
    </row>
    <row r="97">
      <c r="P97" s="252"/>
      <c r="Q97" s="136"/>
      <c r="R97" s="136"/>
      <c r="S97" s="136"/>
      <c r="T97" s="136"/>
      <c r="U97" s="253"/>
      <c r="V97" s="136"/>
    </row>
    <row r="98">
      <c r="P98" s="252"/>
      <c r="Q98" s="136"/>
      <c r="R98" s="136"/>
      <c r="S98" s="136"/>
      <c r="T98" s="136"/>
      <c r="U98" s="253"/>
      <c r="V98" s="136"/>
    </row>
    <row r="99">
      <c r="P99" s="252"/>
      <c r="Q99" s="136"/>
      <c r="R99" s="136"/>
      <c r="S99" s="136"/>
      <c r="T99" s="136"/>
      <c r="U99" s="253"/>
      <c r="V99" s="136"/>
    </row>
    <row r="100">
      <c r="P100" s="252"/>
      <c r="Q100" s="136"/>
      <c r="R100" s="136"/>
      <c r="S100" s="136"/>
      <c r="T100" s="136"/>
      <c r="U100" s="25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88">
    <mergeCell ref="F56:H56"/>
    <mergeCell ref="F57:H57"/>
    <mergeCell ref="F60:H60"/>
    <mergeCell ref="F63:H63"/>
    <mergeCell ref="F65:H65"/>
    <mergeCell ref="F67:H67"/>
    <mergeCell ref="F68:H68"/>
    <mergeCell ref="F48:H48"/>
    <mergeCell ref="F49:H49"/>
    <mergeCell ref="F51:H51"/>
    <mergeCell ref="F52:H52"/>
    <mergeCell ref="F53:H53"/>
    <mergeCell ref="F54:H54"/>
    <mergeCell ref="F55:H55"/>
    <mergeCell ref="B60:D62"/>
    <mergeCell ref="E60:E62"/>
    <mergeCell ref="B63:D64"/>
    <mergeCell ref="E63:E64"/>
    <mergeCell ref="B65:D66"/>
    <mergeCell ref="E65:E66"/>
    <mergeCell ref="B67:D68"/>
    <mergeCell ref="E67:E68"/>
    <mergeCell ref="B45:D50"/>
    <mergeCell ref="B51:D54"/>
    <mergeCell ref="E51:E54"/>
    <mergeCell ref="B55:D57"/>
    <mergeCell ref="E55:E57"/>
    <mergeCell ref="B58:D59"/>
    <mergeCell ref="E58:E59"/>
    <mergeCell ref="J59:K59"/>
    <mergeCell ref="J60:K60"/>
    <mergeCell ref="J61:K61"/>
    <mergeCell ref="J62:K62"/>
    <mergeCell ref="J63:K63"/>
    <mergeCell ref="J64:K64"/>
    <mergeCell ref="J65:K65"/>
    <mergeCell ref="J73:K73"/>
    <mergeCell ref="J74:K74"/>
    <mergeCell ref="J66:K66"/>
    <mergeCell ref="J67:K67"/>
    <mergeCell ref="L67:L68"/>
    <mergeCell ref="J68:K68"/>
    <mergeCell ref="J70:K70"/>
    <mergeCell ref="J71:K71"/>
    <mergeCell ref="J72:K72"/>
    <mergeCell ref="B2:F2"/>
    <mergeCell ref="H2:H3"/>
    <mergeCell ref="I2:I3"/>
    <mergeCell ref="L2:M2"/>
    <mergeCell ref="L15:M15"/>
    <mergeCell ref="L24:M24"/>
    <mergeCell ref="L33:M33"/>
    <mergeCell ref="F46:H46"/>
    <mergeCell ref="F47:H47"/>
    <mergeCell ref="B42:K43"/>
    <mergeCell ref="B44:D44"/>
    <mergeCell ref="F44:H44"/>
    <mergeCell ref="J44:K44"/>
    <mergeCell ref="E45:E50"/>
    <mergeCell ref="F45:H45"/>
    <mergeCell ref="F50:H50"/>
    <mergeCell ref="L45:L50"/>
    <mergeCell ref="L51:L54"/>
    <mergeCell ref="L55:L57"/>
    <mergeCell ref="L58:L59"/>
    <mergeCell ref="L60:L62"/>
    <mergeCell ref="L63:L64"/>
    <mergeCell ref="L65:L66"/>
    <mergeCell ref="J45:K45"/>
    <mergeCell ref="J46:K46"/>
    <mergeCell ref="J47:K47"/>
    <mergeCell ref="J48:K48"/>
    <mergeCell ref="J49:K49"/>
    <mergeCell ref="J50:K50"/>
    <mergeCell ref="J51:K51"/>
    <mergeCell ref="F58:H58"/>
    <mergeCell ref="F59:H59"/>
    <mergeCell ref="F61:H61"/>
    <mergeCell ref="F62:H62"/>
    <mergeCell ref="F64:H64"/>
    <mergeCell ref="F66:H66"/>
    <mergeCell ref="J52:K52"/>
    <mergeCell ref="J53:K53"/>
    <mergeCell ref="J54:K54"/>
    <mergeCell ref="J55:K55"/>
    <mergeCell ref="J56:K56"/>
    <mergeCell ref="J57:K57"/>
    <mergeCell ref="J58:K58"/>
  </mergeCells>
  <conditionalFormatting sqref="J45:K68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46366</v>
      </c>
      <c r="L2" s="84" t="s">
        <v>34</v>
      </c>
      <c r="M2" s="86"/>
      <c r="N2" s="400">
        <f>M4+M5+M8+M9+M12</f>
        <v>2370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45967.0</v>
      </c>
      <c r="Q3" s="132" t="s">
        <v>119</v>
      </c>
      <c r="R3" s="132" t="s">
        <v>135</v>
      </c>
      <c r="S3" s="132" t="s">
        <v>51</v>
      </c>
      <c r="T3" s="132">
        <f>100+140</f>
        <v>240</v>
      </c>
      <c r="U3" s="109" t="s">
        <v>231</v>
      </c>
      <c r="V3" s="136"/>
    </row>
    <row r="4">
      <c r="B4" s="317">
        <v>45956.0</v>
      </c>
      <c r="C4" s="108"/>
      <c r="D4" s="150">
        <v>39500.0</v>
      </c>
      <c r="E4" s="108" t="s">
        <v>143</v>
      </c>
      <c r="F4" s="174" t="s">
        <v>120</v>
      </c>
      <c r="H4" s="318" t="str">
        <f t="shared" ref="H4:H35" si="1">TEXT(I4, "dddd")
</f>
        <v>Sunday</v>
      </c>
      <c r="I4" s="319">
        <v>45956.0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20</v>
      </c>
      <c r="N4" s="322">
        <f>'Oct 25'!M4</f>
        <v>17250</v>
      </c>
      <c r="P4" s="404">
        <v>45966.0</v>
      </c>
      <c r="Q4" s="132" t="s">
        <v>119</v>
      </c>
      <c r="R4" s="132" t="s">
        <v>142</v>
      </c>
      <c r="S4" s="132" t="s">
        <v>51</v>
      </c>
      <c r="T4" s="132">
        <f>400+440</f>
        <v>840</v>
      </c>
      <c r="U4" s="109" t="s">
        <v>232</v>
      </c>
      <c r="V4" s="136"/>
    </row>
    <row r="5">
      <c r="B5" s="317">
        <v>45956.0</v>
      </c>
      <c r="C5" s="108"/>
      <c r="D5" s="142">
        <v>1667.0</v>
      </c>
      <c r="E5" s="108" t="s">
        <v>143</v>
      </c>
      <c r="F5" s="174" t="s">
        <v>120</v>
      </c>
      <c r="H5" s="318" t="str">
        <f t="shared" si="1"/>
        <v>Monday</v>
      </c>
      <c r="I5" s="319">
        <v>45957.0</v>
      </c>
      <c r="J5" s="170">
        <f t="array" ref="J5">sum(IF(($P$3:$P$100=I5), $T$3:$T$100, 0))</f>
        <v>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1477</v>
      </c>
      <c r="N5" s="326">
        <f>'Oct 25'!M5</f>
        <v>435</v>
      </c>
      <c r="P5" s="404">
        <v>45967.0</v>
      </c>
      <c r="Q5" s="132" t="s">
        <v>131</v>
      </c>
      <c r="R5" s="132" t="s">
        <v>148</v>
      </c>
      <c r="S5" s="132" t="s">
        <v>51</v>
      </c>
      <c r="T5" s="132">
        <f>15*3</f>
        <v>45</v>
      </c>
      <c r="U5" s="109"/>
      <c r="V5" s="136"/>
    </row>
    <row r="6">
      <c r="B6" s="317">
        <v>45963.0</v>
      </c>
      <c r="C6" s="108"/>
      <c r="D6" s="142">
        <v>1000.0</v>
      </c>
      <c r="E6" s="108" t="s">
        <v>136</v>
      </c>
      <c r="F6" s="174" t="s">
        <v>12</v>
      </c>
      <c r="H6" s="318" t="str">
        <f t="shared" si="1"/>
        <v>Tuesday</v>
      </c>
      <c r="I6" s="319">
        <v>45958.0</v>
      </c>
      <c r="J6" s="170">
        <f t="array" ref="J6">sum(IF(($P$3:$P$100=I6), $T$3:$T$100, 0))</f>
        <v>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17156</v>
      </c>
      <c r="N6" s="326">
        <f>'Oct 25'!M6</f>
        <v>156</v>
      </c>
      <c r="P6" s="404">
        <v>45963.0</v>
      </c>
      <c r="Q6" s="132" t="s">
        <v>119</v>
      </c>
      <c r="R6" s="132" t="s">
        <v>141</v>
      </c>
      <c r="S6" s="132" t="s">
        <v>51</v>
      </c>
      <c r="T6" s="132">
        <f>2000+200</f>
        <v>2200</v>
      </c>
      <c r="U6" s="109"/>
      <c r="V6" s="136"/>
    </row>
    <row r="7">
      <c r="B7" s="317">
        <v>45963.0</v>
      </c>
      <c r="C7" s="142"/>
      <c r="D7" s="142">
        <v>117.0</v>
      </c>
      <c r="E7" s="108" t="s">
        <v>143</v>
      </c>
      <c r="F7" s="174" t="s">
        <v>136</v>
      </c>
      <c r="H7" s="318" t="str">
        <f t="shared" si="1"/>
        <v>Wednesday</v>
      </c>
      <c r="I7" s="319">
        <v>45959.0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'Oct 25'!M7</f>
        <v>285</v>
      </c>
      <c r="P7" s="404">
        <v>45966.0</v>
      </c>
      <c r="Q7" s="132" t="s">
        <v>127</v>
      </c>
      <c r="R7" s="132" t="s">
        <v>146</v>
      </c>
      <c r="S7" s="132" t="s">
        <v>12</v>
      </c>
      <c r="T7" s="132">
        <v>265.0</v>
      </c>
      <c r="U7" s="109"/>
      <c r="V7" s="136"/>
    </row>
    <row r="8">
      <c r="B8" s="317">
        <v>45963.0</v>
      </c>
      <c r="C8" s="108"/>
      <c r="D8" s="142">
        <v>9800.0</v>
      </c>
      <c r="E8" s="108" t="s">
        <v>51</v>
      </c>
      <c r="F8" s="174"/>
      <c r="H8" s="318" t="str">
        <f t="shared" si="1"/>
        <v>Thursday</v>
      </c>
      <c r="I8" s="319">
        <v>45960.0</v>
      </c>
      <c r="J8" s="170">
        <f t="array" ref="J8">sum(IF(($P$3:$P$100=I8), $T$3:$T$100, 0))</f>
        <v>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532</v>
      </c>
      <c r="N8" s="326">
        <f>'Oct 25'!M8</f>
        <v>218</v>
      </c>
      <c r="P8" s="404">
        <v>45965.0</v>
      </c>
      <c r="Q8" s="132" t="s">
        <v>127</v>
      </c>
      <c r="R8" s="132" t="s">
        <v>147</v>
      </c>
      <c r="S8" s="132" t="s">
        <v>12</v>
      </c>
      <c r="T8" s="132">
        <f>208-25</f>
        <v>183</v>
      </c>
      <c r="U8" s="109" t="s">
        <v>233</v>
      </c>
      <c r="V8" s="136"/>
    </row>
    <row r="9">
      <c r="B9" s="317">
        <v>45967.0</v>
      </c>
      <c r="C9" s="108"/>
      <c r="D9" s="108">
        <v>1205.0</v>
      </c>
      <c r="E9" s="108" t="s">
        <v>143</v>
      </c>
      <c r="F9" s="174" t="s">
        <v>120</v>
      </c>
      <c r="H9" s="318" t="str">
        <f t="shared" si="1"/>
        <v>Friday</v>
      </c>
      <c r="I9" s="319">
        <v>45961.0</v>
      </c>
      <c r="J9" s="170">
        <f t="array" ref="J9">sum(IF(($P$3:$P$100=I9), $T$3:$T$100, 0))</f>
        <v>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'Oct 25'!M9</f>
        <v>2</v>
      </c>
      <c r="P9" s="404">
        <v>45963.0</v>
      </c>
      <c r="Q9" s="132" t="s">
        <v>131</v>
      </c>
      <c r="R9" s="132" t="s">
        <v>23</v>
      </c>
      <c r="S9" s="132" t="s">
        <v>12</v>
      </c>
      <c r="T9" s="132">
        <v>665.0</v>
      </c>
      <c r="U9" s="109" t="s">
        <v>234</v>
      </c>
      <c r="V9" s="136"/>
    </row>
    <row r="10">
      <c r="B10" s="317">
        <v>45968.0</v>
      </c>
      <c r="C10" s="142"/>
      <c r="D10" s="142">
        <v>10000.0</v>
      </c>
      <c r="E10" s="108" t="s">
        <v>120</v>
      </c>
      <c r="F10" s="174" t="s">
        <v>136</v>
      </c>
      <c r="H10" s="318" t="str">
        <f t="shared" si="1"/>
        <v>Saturday</v>
      </c>
      <c r="I10" s="319">
        <v>45962.0</v>
      </c>
      <c r="J10" s="170">
        <f t="array" ref="J10">sum(IF(($P$3:$P$100=I10), $T$3:$T$100, 0))</f>
        <v>105</v>
      </c>
      <c r="L10" s="333" t="s">
        <v>137</v>
      </c>
      <c r="M10" s="374">
        <f>N10-10000</f>
        <v>100000</v>
      </c>
      <c r="N10" s="326">
        <f>'Oct 25'!M10</f>
        <v>110000</v>
      </c>
      <c r="P10" s="404">
        <v>45962.0</v>
      </c>
      <c r="Q10" s="132" t="s">
        <v>127</v>
      </c>
      <c r="R10" s="132" t="s">
        <v>146</v>
      </c>
      <c r="S10" s="132" t="s">
        <v>12</v>
      </c>
      <c r="T10" s="132">
        <f>30+75</f>
        <v>105</v>
      </c>
      <c r="U10" s="109" t="s">
        <v>235</v>
      </c>
      <c r="V10" s="136"/>
    </row>
    <row r="11">
      <c r="B11" s="317">
        <v>45968.0</v>
      </c>
      <c r="C11" s="108"/>
      <c r="D11" s="142">
        <v>20000.0</v>
      </c>
      <c r="E11" s="108" t="s">
        <v>136</v>
      </c>
      <c r="F11" s="174" t="s">
        <v>51</v>
      </c>
      <c r="H11" s="318" t="str">
        <f t="shared" si="1"/>
        <v>Sunday</v>
      </c>
      <c r="I11" s="319">
        <v>45963.0</v>
      </c>
      <c r="J11" s="170">
        <f t="array" ref="J11">sum(IF(($P$3:$P$100=I11), $T$3:$T$100, 0))</f>
        <v>2865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7550</v>
      </c>
      <c r="N11" s="326">
        <f>'Oct 25'!M11</f>
        <v>5500</v>
      </c>
      <c r="P11" s="404">
        <v>45965.0</v>
      </c>
      <c r="Q11" s="132" t="s">
        <v>131</v>
      </c>
      <c r="R11" s="132" t="s">
        <v>131</v>
      </c>
      <c r="S11" s="132" t="s">
        <v>120</v>
      </c>
      <c r="T11" s="132">
        <v>9450.0</v>
      </c>
      <c r="U11" s="109" t="s">
        <v>236</v>
      </c>
      <c r="V11" s="136"/>
    </row>
    <row r="12">
      <c r="B12" s="317">
        <v>45969.0</v>
      </c>
      <c r="C12" s="108"/>
      <c r="D12" s="142">
        <v>1000.0</v>
      </c>
      <c r="E12" s="108" t="s">
        <v>136</v>
      </c>
      <c r="F12" s="174" t="s">
        <v>12</v>
      </c>
      <c r="H12" s="318" t="str">
        <f t="shared" si="1"/>
        <v>Monday</v>
      </c>
      <c r="I12" s="319">
        <v>45964.0</v>
      </c>
      <c r="J12" s="170">
        <f t="array" ref="J12">sum(IF(($P$3:$P$100=I12), $T$3:$T$100, 0))</f>
        <v>1000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339</v>
      </c>
      <c r="N12" s="326">
        <f>'Oct 25'!M12</f>
        <v>17142</v>
      </c>
      <c r="P12" s="404">
        <v>45964.0</v>
      </c>
      <c r="Q12" s="132" t="s">
        <v>114</v>
      </c>
      <c r="R12" s="132" t="s">
        <v>118</v>
      </c>
      <c r="S12" s="132" t="s">
        <v>136</v>
      </c>
      <c r="T12" s="132">
        <v>1000.0</v>
      </c>
      <c r="U12" s="109"/>
      <c r="V12" s="136"/>
    </row>
    <row r="13">
      <c r="B13" s="317">
        <v>45969.0</v>
      </c>
      <c r="C13" s="108"/>
      <c r="D13" s="142">
        <v>50.0</v>
      </c>
      <c r="E13" s="108" t="s">
        <v>143</v>
      </c>
      <c r="F13" s="174" t="s">
        <v>136</v>
      </c>
      <c r="H13" s="318" t="str">
        <f t="shared" si="1"/>
        <v>Tuesday</v>
      </c>
      <c r="I13" s="319">
        <v>45965.0</v>
      </c>
      <c r="J13" s="170">
        <f t="array" ref="J13">sum(IF(($P$3:$P$100=I13), $T$3:$T$100, 0))</f>
        <v>9633</v>
      </c>
      <c r="L13" s="338"/>
      <c r="M13" s="339"/>
      <c r="N13" s="340"/>
      <c r="P13" s="404">
        <v>45968.0</v>
      </c>
      <c r="Q13" s="132" t="s">
        <v>123</v>
      </c>
      <c r="R13" s="132" t="s">
        <v>123</v>
      </c>
      <c r="S13" s="132" t="s">
        <v>51</v>
      </c>
      <c r="T13" s="132">
        <f>490+425</f>
        <v>915</v>
      </c>
      <c r="U13" s="109" t="s">
        <v>237</v>
      </c>
      <c r="V13" s="136"/>
    </row>
    <row r="14">
      <c r="B14" s="317">
        <v>45975.0</v>
      </c>
      <c r="C14" s="108"/>
      <c r="D14" s="142">
        <v>20000.0</v>
      </c>
      <c r="E14" s="108" t="s">
        <v>120</v>
      </c>
      <c r="F14" s="174" t="s">
        <v>124</v>
      </c>
      <c r="H14" s="318" t="str">
        <f t="shared" si="1"/>
        <v>Wednesday</v>
      </c>
      <c r="I14" s="319">
        <v>45966.0</v>
      </c>
      <c r="J14" s="170">
        <f t="array" ref="J14">sum(IF(($P$3:$P$100=I14), $T$3:$T$100, 0))</f>
        <v>1105</v>
      </c>
      <c r="P14" s="404">
        <v>45968.0</v>
      </c>
      <c r="Q14" s="132" t="s">
        <v>119</v>
      </c>
      <c r="R14" s="132" t="s">
        <v>142</v>
      </c>
      <c r="S14" s="132" t="s">
        <v>51</v>
      </c>
      <c r="T14" s="132">
        <f>695+50+80+15</f>
        <v>840</v>
      </c>
      <c r="U14" s="109" t="s">
        <v>238</v>
      </c>
      <c r="V14" s="136"/>
    </row>
    <row r="15">
      <c r="B15" s="317">
        <v>45978.0</v>
      </c>
      <c r="C15" s="108"/>
      <c r="D15" s="108">
        <v>1500.0</v>
      </c>
      <c r="E15" s="108" t="s">
        <v>136</v>
      </c>
      <c r="F15" s="174" t="s">
        <v>51</v>
      </c>
      <c r="H15" s="318" t="str">
        <f t="shared" si="1"/>
        <v>Thursday</v>
      </c>
      <c r="I15" s="319">
        <v>45967.0</v>
      </c>
      <c r="J15" s="170">
        <f t="array" ref="J15">sum(IF(($P$3:$P$100=I15), $T$3:$T$100, 0))</f>
        <v>285</v>
      </c>
      <c r="L15" s="137" t="s">
        <v>72</v>
      </c>
      <c r="M15" s="86"/>
      <c r="N15" s="138">
        <f>sum(N17:N22)</f>
        <v>0</v>
      </c>
      <c r="P15" s="404">
        <v>45969.0</v>
      </c>
      <c r="Q15" s="132" t="s">
        <v>114</v>
      </c>
      <c r="R15" s="132" t="s">
        <v>115</v>
      </c>
      <c r="S15" s="132" t="s">
        <v>51</v>
      </c>
      <c r="T15" s="132">
        <v>13000.0</v>
      </c>
      <c r="U15" s="109"/>
      <c r="V15" s="136"/>
    </row>
    <row r="16">
      <c r="B16" s="317">
        <v>45979.0</v>
      </c>
      <c r="C16" s="142"/>
      <c r="D16" s="142">
        <v>3000.0</v>
      </c>
      <c r="E16" s="108" t="s">
        <v>124</v>
      </c>
      <c r="F16" s="174" t="s">
        <v>12</v>
      </c>
      <c r="H16" s="318" t="str">
        <f t="shared" si="1"/>
        <v>Friday</v>
      </c>
      <c r="I16" s="319">
        <v>45968.0</v>
      </c>
      <c r="J16" s="170">
        <f t="array" ref="J16">sum(IF(($P$3:$P$100=I16), $T$3:$T$100, 0))</f>
        <v>1755</v>
      </c>
      <c r="L16" s="139" t="s">
        <v>6</v>
      </c>
      <c r="M16" s="140" t="s">
        <v>74</v>
      </c>
      <c r="N16" s="141" t="s">
        <v>35</v>
      </c>
      <c r="P16" s="404">
        <v>45969.0</v>
      </c>
      <c r="Q16" s="132" t="s">
        <v>114</v>
      </c>
      <c r="R16" s="132" t="s">
        <v>126</v>
      </c>
      <c r="S16" s="132" t="s">
        <v>51</v>
      </c>
      <c r="T16" s="132">
        <v>1080.0</v>
      </c>
      <c r="U16" s="109"/>
      <c r="V16" s="136"/>
    </row>
    <row r="17">
      <c r="B17" s="317">
        <v>45979.0</v>
      </c>
      <c r="C17" s="108"/>
      <c r="D17" s="108">
        <v>2050.0</v>
      </c>
      <c r="E17" s="108" t="s">
        <v>12</v>
      </c>
      <c r="F17" s="174" t="s">
        <v>140</v>
      </c>
      <c r="H17" s="318" t="str">
        <f t="shared" si="1"/>
        <v>Saturday</v>
      </c>
      <c r="I17" s="319">
        <v>45969.0</v>
      </c>
      <c r="J17" s="170">
        <f t="array" ref="J17">sum(IF(($P$3:$P$100=I17), $T$3:$T$100, 0))</f>
        <v>20530</v>
      </c>
      <c r="L17" s="143">
        <v>45774.0</v>
      </c>
      <c r="M17" s="132">
        <v>2500.0</v>
      </c>
      <c r="N17" s="103" t="s">
        <v>185</v>
      </c>
      <c r="P17" s="404">
        <v>45969.0</v>
      </c>
      <c r="Q17" s="132" t="s">
        <v>114</v>
      </c>
      <c r="R17" s="132" t="s">
        <v>133</v>
      </c>
      <c r="S17" s="132" t="s">
        <v>51</v>
      </c>
      <c r="T17" s="132">
        <v>700.0</v>
      </c>
      <c r="U17" s="109"/>
      <c r="V17" s="136"/>
    </row>
    <row r="18">
      <c r="B18" s="317">
        <v>45984.0</v>
      </c>
      <c r="C18" s="108"/>
      <c r="D18" s="108">
        <v>1000.0</v>
      </c>
      <c r="E18" s="108" t="s">
        <v>51</v>
      </c>
      <c r="F18" s="174" t="s">
        <v>120</v>
      </c>
      <c r="H18" s="318" t="str">
        <f t="shared" si="1"/>
        <v>Sunday</v>
      </c>
      <c r="I18" s="319">
        <v>45970.0</v>
      </c>
      <c r="J18" s="170">
        <f t="array" ref="J18">sum(IF(($P$3:$P$100=I18), $T$3:$T$100, 0))</f>
        <v>0</v>
      </c>
      <c r="L18" s="143"/>
      <c r="M18" s="132">
        <v>3000.0</v>
      </c>
      <c r="N18" s="103" t="s">
        <v>187</v>
      </c>
      <c r="P18" s="404">
        <v>45969.0</v>
      </c>
      <c r="Q18" s="132" t="s">
        <v>119</v>
      </c>
      <c r="R18" s="132" t="s">
        <v>141</v>
      </c>
      <c r="S18" s="132" t="s">
        <v>51</v>
      </c>
      <c r="T18" s="132">
        <f>3000+220</f>
        <v>3220</v>
      </c>
      <c r="U18" s="109"/>
      <c r="V18" s="136"/>
    </row>
    <row r="19">
      <c r="B19" s="317"/>
      <c r="C19" s="112"/>
      <c r="D19" s="108"/>
      <c r="E19" s="108"/>
      <c r="F19" s="174"/>
      <c r="H19" s="318" t="str">
        <f t="shared" si="1"/>
        <v>Monday</v>
      </c>
      <c r="I19" s="319">
        <v>45971.0</v>
      </c>
      <c r="J19" s="170">
        <f t="array" ref="J19">sum(IF(($P$3:$P$100=I19), $T$3:$T$100, 0))</f>
        <v>0</v>
      </c>
      <c r="L19" s="148">
        <v>45979.0</v>
      </c>
      <c r="M19" s="132">
        <v>2050.0</v>
      </c>
      <c r="N19" s="103" t="s">
        <v>239</v>
      </c>
      <c r="P19" s="404">
        <v>45969.0</v>
      </c>
      <c r="Q19" s="132" t="s">
        <v>134</v>
      </c>
      <c r="R19" s="132" t="s">
        <v>116</v>
      </c>
      <c r="S19" s="132" t="s">
        <v>120</v>
      </c>
      <c r="T19" s="132">
        <v>2500.0</v>
      </c>
      <c r="U19" s="109"/>
      <c r="V19" s="136"/>
    </row>
    <row r="20">
      <c r="B20" s="317"/>
      <c r="C20" s="142"/>
      <c r="D20" s="142"/>
      <c r="E20" s="108"/>
      <c r="F20" s="174"/>
      <c r="H20" s="318" t="str">
        <f t="shared" si="1"/>
        <v>Tuesday</v>
      </c>
      <c r="I20" s="319">
        <v>45972.0</v>
      </c>
      <c r="J20" s="170">
        <f t="array" ref="J20">sum(IF(($P$3:$P$100=I20), $T$3:$T$100, 0))</f>
        <v>30</v>
      </c>
      <c r="L20" s="148"/>
      <c r="M20" s="132"/>
      <c r="N20" s="185"/>
      <c r="P20" s="404">
        <v>45972.0</v>
      </c>
      <c r="Q20" s="132" t="s">
        <v>131</v>
      </c>
      <c r="R20" s="132" t="s">
        <v>148</v>
      </c>
      <c r="S20" s="132" t="s">
        <v>51</v>
      </c>
      <c r="T20" s="132">
        <f>15+15</f>
        <v>30</v>
      </c>
      <c r="U20" s="109"/>
      <c r="V20" s="136"/>
    </row>
    <row r="21">
      <c r="B21" s="317"/>
      <c r="C21" s="108"/>
      <c r="D21" s="108"/>
      <c r="E21" s="108"/>
      <c r="F21" s="174"/>
      <c r="H21" s="318" t="str">
        <f t="shared" si="1"/>
        <v>Wednesday</v>
      </c>
      <c r="I21" s="319">
        <v>45973.0</v>
      </c>
      <c r="J21" s="170">
        <f t="array" ref="J21">sum(IF(($P$3:$P$100=I21), $T$3:$T$100, 0))</f>
        <v>0</v>
      </c>
      <c r="L21" s="112"/>
      <c r="M21" s="102"/>
      <c r="N21" s="48"/>
      <c r="P21" s="404">
        <v>45969.0</v>
      </c>
      <c r="Q21" s="132" t="s">
        <v>127</v>
      </c>
      <c r="R21" s="132" t="s">
        <v>146</v>
      </c>
      <c r="S21" s="132" t="s">
        <v>12</v>
      </c>
      <c r="T21" s="132">
        <v>30.0</v>
      </c>
      <c r="U21" s="109"/>
      <c r="V21" s="136"/>
    </row>
    <row r="22">
      <c r="B22" s="317"/>
      <c r="C22" s="112"/>
      <c r="D22" s="108"/>
      <c r="E22" s="108"/>
      <c r="F22" s="174"/>
      <c r="H22" s="318" t="str">
        <f t="shared" si="1"/>
        <v>Thursday</v>
      </c>
      <c r="I22" s="319">
        <v>45974.0</v>
      </c>
      <c r="J22" s="170">
        <f t="array" ref="J22">sum(IF(($P$3:$P$100=I22), $T$3:$T$100, 0))</f>
        <v>2785</v>
      </c>
      <c r="L22" s="127"/>
      <c r="M22" s="133"/>
      <c r="N22" s="68"/>
      <c r="P22" s="404">
        <v>45974.0</v>
      </c>
      <c r="Q22" s="132" t="s">
        <v>131</v>
      </c>
      <c r="R22" s="132" t="s">
        <v>145</v>
      </c>
      <c r="S22" s="132" t="s">
        <v>51</v>
      </c>
      <c r="T22" s="132">
        <v>300.0</v>
      </c>
      <c r="U22" s="109" t="s">
        <v>240</v>
      </c>
      <c r="V22" s="136"/>
    </row>
    <row r="23">
      <c r="B23" s="317"/>
      <c r="C23" s="108"/>
      <c r="D23" s="108"/>
      <c r="E23" s="108"/>
      <c r="F23" s="174"/>
      <c r="H23" s="318" t="str">
        <f t="shared" si="1"/>
        <v>Friday</v>
      </c>
      <c r="I23" s="319">
        <v>45975.0</v>
      </c>
      <c r="J23" s="170">
        <f t="array" ref="J23">sum(IF(($P$3:$P$100=I23), $T$3:$T$100, 0))</f>
        <v>3995</v>
      </c>
      <c r="P23" s="404">
        <v>45974.0</v>
      </c>
      <c r="Q23" s="132" t="s">
        <v>131</v>
      </c>
      <c r="R23" s="132" t="s">
        <v>148</v>
      </c>
      <c r="S23" s="132" t="s">
        <v>51</v>
      </c>
      <c r="T23" s="132">
        <v>15.0</v>
      </c>
      <c r="U23" s="109"/>
      <c r="V23" s="136"/>
    </row>
    <row r="24">
      <c r="B24" s="317"/>
      <c r="C24" s="108"/>
      <c r="D24" s="108"/>
      <c r="E24" s="108"/>
      <c r="F24" s="174"/>
      <c r="H24" s="318" t="str">
        <f t="shared" si="1"/>
        <v>Saturday</v>
      </c>
      <c r="I24" s="319">
        <v>45976.0</v>
      </c>
      <c r="J24" s="170">
        <f t="array" ref="J24">sum(IF(($P$3:$P$100=I24), $T$3:$T$100, 0))</f>
        <v>0</v>
      </c>
      <c r="L24" s="137" t="s">
        <v>84</v>
      </c>
      <c r="M24" s="86"/>
      <c r="N24" s="138">
        <f>sum(N26:N31)</f>
        <v>0</v>
      </c>
      <c r="P24" s="404">
        <v>45974.0</v>
      </c>
      <c r="Q24" s="132" t="s">
        <v>131</v>
      </c>
      <c r="R24" s="132" t="s">
        <v>131</v>
      </c>
      <c r="S24" s="132" t="s">
        <v>136</v>
      </c>
      <c r="T24" s="132">
        <v>2470.0</v>
      </c>
      <c r="U24" s="109" t="s">
        <v>241</v>
      </c>
      <c r="V24" s="136"/>
    </row>
    <row r="25">
      <c r="B25" s="317"/>
      <c r="C25" s="112"/>
      <c r="D25" s="112"/>
      <c r="E25" s="108"/>
      <c r="F25" s="174"/>
      <c r="H25" s="318" t="str">
        <f t="shared" si="1"/>
        <v>Sunday</v>
      </c>
      <c r="I25" s="319">
        <v>45977.0</v>
      </c>
      <c r="J25" s="170">
        <f t="array" ref="J25">sum(IF(($P$3:$P$100=I25), $T$3:$T$100, 0))</f>
        <v>0</v>
      </c>
      <c r="L25" s="139" t="s">
        <v>6</v>
      </c>
      <c r="M25" s="140" t="s">
        <v>85</v>
      </c>
      <c r="N25" s="141" t="s">
        <v>35</v>
      </c>
      <c r="P25" s="404">
        <v>45975.0</v>
      </c>
      <c r="Q25" s="132" t="s">
        <v>119</v>
      </c>
      <c r="R25" s="132" t="s">
        <v>135</v>
      </c>
      <c r="S25" s="132" t="s">
        <v>51</v>
      </c>
      <c r="T25" s="132">
        <f>1300+490+700+400+900+25</f>
        <v>3815</v>
      </c>
      <c r="U25" s="109" t="s">
        <v>242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Monday</v>
      </c>
      <c r="I26" s="319">
        <v>45978.0</v>
      </c>
      <c r="J26" s="170">
        <f t="array" ref="J26">sum(IF(($P$3:$P$100=I26), $T$3:$T$100, 0))</f>
        <v>1160</v>
      </c>
      <c r="L26" s="152"/>
      <c r="M26" s="47"/>
      <c r="N26" s="48"/>
      <c r="P26" s="404">
        <v>45975.0</v>
      </c>
      <c r="Q26" s="132" t="s">
        <v>131</v>
      </c>
      <c r="R26" s="132" t="s">
        <v>23</v>
      </c>
      <c r="S26" s="132" t="s">
        <v>51</v>
      </c>
      <c r="T26" s="132">
        <v>60.0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Tuesday</v>
      </c>
      <c r="I27" s="319">
        <v>45979.0</v>
      </c>
      <c r="J27" s="170">
        <f t="array" ref="J27">sum(IF(($P$3:$P$100=I27), $T$3:$T$100, 0))</f>
        <v>298</v>
      </c>
      <c r="L27" s="152"/>
      <c r="M27" s="47"/>
      <c r="N27" s="48"/>
      <c r="P27" s="404">
        <v>45975.0</v>
      </c>
      <c r="Q27" s="132" t="s">
        <v>119</v>
      </c>
      <c r="R27" s="132" t="s">
        <v>142</v>
      </c>
      <c r="S27" s="132" t="s">
        <v>51</v>
      </c>
      <c r="T27" s="132">
        <v>50.0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Wednesday</v>
      </c>
      <c r="I28" s="319">
        <v>45980.0</v>
      </c>
      <c r="J28" s="170">
        <f t="array" ref="J28">sum(IF(($P$3:$P$100=I28), $T$3:$T$100, 0))</f>
        <v>40</v>
      </c>
      <c r="L28" s="152"/>
      <c r="M28" s="47"/>
      <c r="N28" s="48"/>
      <c r="P28" s="404">
        <v>45975.0</v>
      </c>
      <c r="Q28" s="132" t="s">
        <v>131</v>
      </c>
      <c r="R28" s="132" t="s">
        <v>145</v>
      </c>
      <c r="S28" s="132" t="s">
        <v>51</v>
      </c>
      <c r="T28" s="132">
        <v>20.0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Thursday</v>
      </c>
      <c r="I29" s="319">
        <v>45981.0</v>
      </c>
      <c r="J29" s="170">
        <f t="array" ref="J29">sum(IF(($P$3:$P$100=I29), $T$3:$T$100, 0))</f>
        <v>50</v>
      </c>
      <c r="L29" s="152"/>
      <c r="M29" s="47"/>
      <c r="N29" s="48"/>
      <c r="P29" s="404">
        <v>45978.0</v>
      </c>
      <c r="Q29" s="132" t="s">
        <v>123</v>
      </c>
      <c r="R29" s="132" t="s">
        <v>144</v>
      </c>
      <c r="S29" s="132" t="s">
        <v>51</v>
      </c>
      <c r="T29" s="132">
        <f>200</f>
        <v>200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Friday</v>
      </c>
      <c r="I30" s="319">
        <v>45982.0</v>
      </c>
      <c r="J30" s="170">
        <f t="array" ref="J30">sum(IF(($P$3:$P$100=I30), $T$3:$T$100, 0))</f>
        <v>30</v>
      </c>
      <c r="L30" s="152"/>
      <c r="M30" s="47"/>
      <c r="N30" s="48"/>
      <c r="P30" s="404">
        <v>45978.0</v>
      </c>
      <c r="Q30" s="132" t="s">
        <v>131</v>
      </c>
      <c r="R30" s="132" t="s">
        <v>145</v>
      </c>
      <c r="S30" s="132" t="s">
        <v>51</v>
      </c>
      <c r="T30" s="132">
        <v>100.0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Saturday</v>
      </c>
      <c r="I31" s="319">
        <v>45983.0</v>
      </c>
      <c r="J31" s="170">
        <f t="array" ref="J31">sum(IF(($P$3:$P$100=I31), $T$3:$T$100, 0))</f>
        <v>200</v>
      </c>
      <c r="L31" s="153"/>
      <c r="M31" s="154"/>
      <c r="N31" s="68"/>
      <c r="P31" s="404">
        <v>45978.0</v>
      </c>
      <c r="Q31" s="132" t="s">
        <v>131</v>
      </c>
      <c r="R31" s="132" t="s">
        <v>148</v>
      </c>
      <c r="S31" s="132" t="s">
        <v>51</v>
      </c>
      <c r="T31" s="132">
        <v>20.0</v>
      </c>
      <c r="U31" s="109"/>
      <c r="V31" s="136"/>
    </row>
    <row r="32">
      <c r="B32" s="317"/>
      <c r="C32" s="108"/>
      <c r="D32" s="108"/>
      <c r="E32" s="108"/>
      <c r="F32" s="174"/>
      <c r="H32" s="318" t="str">
        <f t="shared" si="1"/>
        <v>Sunday</v>
      </c>
      <c r="I32" s="319">
        <v>45984.0</v>
      </c>
      <c r="J32" s="170">
        <f t="array" ref="J32">sum(IF(($P$3:$P$100=I32), $T$3:$T$100, 0))</f>
        <v>380</v>
      </c>
      <c r="P32" s="404">
        <v>45979.0</v>
      </c>
      <c r="Q32" s="132" t="s">
        <v>114</v>
      </c>
      <c r="R32" s="132" t="s">
        <v>122</v>
      </c>
      <c r="S32" s="132" t="s">
        <v>12</v>
      </c>
      <c r="T32" s="132">
        <v>298.0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Monday</v>
      </c>
      <c r="I33" s="319">
        <v>45985.0</v>
      </c>
      <c r="J33" s="170">
        <f t="array" ref="J33">sum(IF(($P$3:$P$100=I33), $T$3:$T$100, 0))</f>
        <v>120</v>
      </c>
      <c r="L33" s="137" t="s">
        <v>134</v>
      </c>
      <c r="M33" s="86"/>
      <c r="N33" s="138">
        <f>sum(N35:N40)</f>
        <v>0</v>
      </c>
      <c r="P33" s="404">
        <v>45978.0</v>
      </c>
      <c r="Q33" s="132" t="s">
        <v>114</v>
      </c>
      <c r="R33" s="132" t="s">
        <v>130</v>
      </c>
      <c r="S33" s="132" t="s">
        <v>12</v>
      </c>
      <c r="T33" s="132">
        <v>840.0</v>
      </c>
      <c r="U33" s="109"/>
      <c r="V33" s="136"/>
    </row>
    <row r="34">
      <c r="B34" s="317"/>
      <c r="C34" s="112"/>
      <c r="D34" s="112"/>
      <c r="E34" s="108"/>
      <c r="F34" s="174"/>
      <c r="H34" s="318" t="str">
        <f t="shared" si="1"/>
        <v>Tuesday</v>
      </c>
      <c r="I34" s="319">
        <v>45986.0</v>
      </c>
      <c r="J34" s="170">
        <f t="array" ref="J34">sum(IF(($P$3:$P$100=I34), $T$3:$T$100, 0))</f>
        <v>0</v>
      </c>
      <c r="L34" s="139" t="s">
        <v>39</v>
      </c>
      <c r="M34" s="140" t="s">
        <v>243</v>
      </c>
      <c r="N34" s="141" t="s">
        <v>244</v>
      </c>
      <c r="P34" s="404">
        <v>45980.0</v>
      </c>
      <c r="Q34" s="132" t="s">
        <v>119</v>
      </c>
      <c r="R34" s="132" t="s">
        <v>142</v>
      </c>
      <c r="S34" s="132" t="s">
        <v>51</v>
      </c>
      <c r="T34" s="132">
        <v>40.0</v>
      </c>
      <c r="U34" s="109"/>
      <c r="V34" s="136"/>
    </row>
    <row r="35">
      <c r="B35" s="317"/>
      <c r="C35" s="112"/>
      <c r="D35" s="112"/>
      <c r="E35" s="108"/>
      <c r="F35" s="174"/>
      <c r="H35" s="318" t="str">
        <f t="shared" si="1"/>
        <v>Wednesday</v>
      </c>
      <c r="I35" s="319">
        <v>45987.0</v>
      </c>
      <c r="J35" s="170">
        <f t="array" ref="J35">sum(IF(($P$3:$P$100=I35), $T$3:$T$100, 0))</f>
        <v>0</v>
      </c>
      <c r="L35" s="293"/>
      <c r="M35" s="316"/>
      <c r="N35" s="341"/>
      <c r="P35" s="404">
        <v>45981.0</v>
      </c>
      <c r="Q35" s="132" t="s">
        <v>131</v>
      </c>
      <c r="R35" s="132" t="s">
        <v>148</v>
      </c>
      <c r="S35" s="132" t="s">
        <v>51</v>
      </c>
      <c r="T35" s="132">
        <f>15+15</f>
        <v>30</v>
      </c>
      <c r="U35" s="109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404">
        <v>45981.0</v>
      </c>
      <c r="Q36" s="132" t="s">
        <v>119</v>
      </c>
      <c r="R36" s="132" t="s">
        <v>142</v>
      </c>
      <c r="S36" s="132" t="s">
        <v>51</v>
      </c>
      <c r="T36" s="132">
        <v>20.0</v>
      </c>
      <c r="U36" s="109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404">
        <v>45982.0</v>
      </c>
      <c r="Q37" s="132" t="s">
        <v>26</v>
      </c>
      <c r="R37" s="132" t="s">
        <v>26</v>
      </c>
      <c r="S37" s="132" t="s">
        <v>51</v>
      </c>
      <c r="T37" s="132">
        <v>30.0</v>
      </c>
      <c r="U37" s="109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404">
        <v>45975.0</v>
      </c>
      <c r="Q38" s="132" t="s">
        <v>127</v>
      </c>
      <c r="R38" s="132" t="s">
        <v>147</v>
      </c>
      <c r="S38" s="132" t="s">
        <v>12</v>
      </c>
      <c r="T38" s="132">
        <v>50.0</v>
      </c>
      <c r="U38" s="408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/>
      <c r="M39" s="289"/>
      <c r="N39" s="128"/>
      <c r="P39" s="404">
        <v>45984.0</v>
      </c>
      <c r="Q39" s="132" t="s">
        <v>123</v>
      </c>
      <c r="R39" s="132" t="s">
        <v>144</v>
      </c>
      <c r="S39" s="132" t="s">
        <v>120</v>
      </c>
      <c r="T39" s="132">
        <v>380.0</v>
      </c>
      <c r="U39" s="109"/>
      <c r="V39" s="136"/>
    </row>
    <row r="40">
      <c r="P40" s="404">
        <v>45985.0</v>
      </c>
      <c r="Q40" s="132" t="s">
        <v>119</v>
      </c>
      <c r="R40" s="132" t="s">
        <v>142</v>
      </c>
      <c r="S40" s="132" t="s">
        <v>51</v>
      </c>
      <c r="T40" s="132">
        <f>70+20</f>
        <v>90</v>
      </c>
      <c r="U40" s="408"/>
      <c r="V40" s="136"/>
    </row>
    <row r="41">
      <c r="P41" s="404">
        <v>45985.0</v>
      </c>
      <c r="Q41" s="132" t="s">
        <v>131</v>
      </c>
      <c r="R41" s="132" t="s">
        <v>148</v>
      </c>
      <c r="S41" s="132" t="s">
        <v>51</v>
      </c>
      <c r="T41" s="132">
        <f>15*2</f>
        <v>30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0"/>
      <c r="I42" s="410"/>
      <c r="J42" s="410"/>
      <c r="K42" s="411"/>
      <c r="L42" s="412"/>
      <c r="P42" s="404">
        <v>45983.0</v>
      </c>
      <c r="Q42" s="132" t="s">
        <v>127</v>
      </c>
      <c r="R42" s="132" t="s">
        <v>147</v>
      </c>
      <c r="S42" s="132" t="s">
        <v>12</v>
      </c>
      <c r="T42" s="132">
        <v>200.0</v>
      </c>
      <c r="U42" s="113"/>
      <c r="V42" s="136"/>
    </row>
    <row r="43">
      <c r="B43" s="413"/>
      <c r="C43" s="414"/>
      <c r="D43" s="414"/>
      <c r="E43" s="414"/>
      <c r="F43" s="414"/>
      <c r="G43" s="414"/>
      <c r="H43" s="414"/>
      <c r="I43" s="414"/>
      <c r="J43" s="414"/>
      <c r="K43" s="415"/>
      <c r="L43" s="51"/>
      <c r="P43" s="404"/>
      <c r="Q43" s="132"/>
      <c r="R43" s="132"/>
      <c r="S43" s="132"/>
      <c r="T43" s="132"/>
      <c r="U43" s="109"/>
      <c r="V43" s="136"/>
    </row>
    <row r="44">
      <c r="B44" s="416" t="s">
        <v>107</v>
      </c>
      <c r="C44" s="417"/>
      <c r="D44" s="418"/>
      <c r="E44" s="419" t="s">
        <v>43</v>
      </c>
      <c r="F44" s="420" t="s">
        <v>108</v>
      </c>
      <c r="G44" s="417"/>
      <c r="H44" s="418"/>
      <c r="I44" s="419" t="s">
        <v>43</v>
      </c>
      <c r="J44" s="421" t="s">
        <v>4</v>
      </c>
      <c r="K44" s="418"/>
      <c r="L44" s="422" t="s">
        <v>206</v>
      </c>
      <c r="P44" s="404"/>
      <c r="Q44" s="132"/>
      <c r="R44" s="132"/>
      <c r="S44" s="132"/>
      <c r="T44" s="132"/>
      <c r="U44" s="109"/>
      <c r="V44" s="136"/>
    </row>
    <row r="45">
      <c r="B45" s="423" t="s">
        <v>114</v>
      </c>
      <c r="C45" s="424"/>
      <c r="D45" s="425"/>
      <c r="E45" s="426">
        <f>Sum(I45:I50)</f>
        <v>17070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16918</v>
      </c>
      <c r="M45" s="298">
        <f>I45+I48+I50</f>
        <v>14780</v>
      </c>
      <c r="P45" s="404"/>
      <c r="Q45" s="132"/>
      <c r="R45" s="132"/>
      <c r="S45" s="132"/>
      <c r="T45" s="132"/>
      <c r="U45" s="113"/>
      <c r="V45" s="136"/>
    </row>
    <row r="46">
      <c r="B46" s="432"/>
      <c r="D46" s="433"/>
      <c r="E46" s="434"/>
      <c r="F46" s="435" t="s">
        <v>118</v>
      </c>
      <c r="H46" s="433"/>
      <c r="I46" s="436">
        <v>1000.0</v>
      </c>
      <c r="J46" s="437">
        <f t="array" ref="J46">sum(IF(($R$3:$R$100=F46), $T$3:$T$100, 0))</f>
        <v>1000</v>
      </c>
      <c r="K46" s="418"/>
      <c r="L46" s="434"/>
      <c r="P46" s="404"/>
      <c r="Q46" s="132"/>
      <c r="R46" s="132"/>
      <c r="S46" s="132"/>
      <c r="T46" s="132"/>
      <c r="U46" s="113"/>
      <c r="V46" s="136"/>
    </row>
    <row r="47">
      <c r="B47" s="438"/>
      <c r="D47" s="439"/>
      <c r="E47" s="37"/>
      <c r="F47" s="440" t="s">
        <v>122</v>
      </c>
      <c r="H47" s="439"/>
      <c r="I47" s="441">
        <v>450.0</v>
      </c>
      <c r="J47" s="429">
        <f t="array" ref="J47">sum(IF(($R$3:$R$100=F47), $T$3:$T$100, 0))</f>
        <v>298</v>
      </c>
      <c r="K47" s="430"/>
      <c r="L47" s="37"/>
      <c r="P47" s="404"/>
      <c r="Q47" s="132"/>
      <c r="R47" s="132"/>
      <c r="S47" s="132"/>
      <c r="T47" s="132"/>
      <c r="U47" s="113"/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P48" s="404"/>
      <c r="Q48" s="132"/>
      <c r="R48" s="132"/>
      <c r="S48" s="132"/>
      <c r="T48" s="132"/>
      <c r="U48" s="109"/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P49" s="404"/>
      <c r="Q49" s="132"/>
      <c r="R49" s="132"/>
      <c r="S49" s="132"/>
      <c r="T49" s="132"/>
      <c r="U49" s="113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f>100+600</f>
        <v>700</v>
      </c>
      <c r="J50" s="437">
        <f t="array" ref="J50">sum(IF(($R$3:$R$100=F50), $T$3:$T$100, 0))</f>
        <v>700</v>
      </c>
      <c r="K50" s="418"/>
      <c r="L50" s="445"/>
      <c r="P50" s="404"/>
      <c r="Q50" s="132"/>
      <c r="R50" s="132"/>
      <c r="S50" s="132"/>
      <c r="T50" s="132"/>
      <c r="U50" s="113"/>
      <c r="V50" s="136"/>
    </row>
    <row r="51">
      <c r="B51" s="447" t="s">
        <v>119</v>
      </c>
      <c r="C51" s="424"/>
      <c r="D51" s="425"/>
      <c r="E51" s="431">
        <f>Sum(I51:I54)</f>
        <v>6000</v>
      </c>
      <c r="F51" s="448" t="s">
        <v>135</v>
      </c>
      <c r="G51" s="424"/>
      <c r="H51" s="425"/>
      <c r="I51" s="449">
        <v>1000.0</v>
      </c>
      <c r="J51" s="450">
        <f t="array" ref="J51">sum(IF(($R$3:$R$100=F51), $T$3:$T$100, 0))</f>
        <v>4055</v>
      </c>
      <c r="K51" s="430"/>
      <c r="L51" s="431">
        <f>sum(J51:J54)</f>
        <v>11355</v>
      </c>
      <c r="P51" s="404"/>
      <c r="Q51" s="132"/>
      <c r="R51" s="132"/>
      <c r="S51" s="132"/>
      <c r="T51" s="132"/>
      <c r="U51" s="113"/>
      <c r="V51" s="136"/>
    </row>
    <row r="52">
      <c r="B52" s="432"/>
      <c r="D52" s="433"/>
      <c r="E52" s="434"/>
      <c r="F52" s="451" t="s">
        <v>138</v>
      </c>
      <c r="H52" s="433"/>
      <c r="I52" s="452">
        <v>500.0</v>
      </c>
      <c r="J52" s="453">
        <f t="array" ref="J52">sum(IF(($R$3:$R$100=F52), $T$3:$T$100, 0))</f>
        <v>0</v>
      </c>
      <c r="K52" s="418"/>
      <c r="L52" s="434"/>
      <c r="P52" s="404"/>
      <c r="Q52" s="132"/>
      <c r="R52" s="132"/>
      <c r="S52" s="132"/>
      <c r="T52" s="132"/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3000.0</v>
      </c>
      <c r="J53" s="450">
        <f t="array" ref="J53">sum(IF(($R$3:$R$100=F53), $T$3:$T$100, 0))</f>
        <v>5420</v>
      </c>
      <c r="K53" s="430"/>
      <c r="L53" s="37"/>
      <c r="P53" s="404"/>
      <c r="Q53" s="132"/>
      <c r="R53" s="132"/>
      <c r="S53" s="132"/>
      <c r="T53" s="132"/>
      <c r="U53" s="113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1500.0</v>
      </c>
      <c r="J54" s="453">
        <f t="array" ref="J54">sum(IF(($R$3:$R$100=F54), $T$3:$T$100, 0))</f>
        <v>1880</v>
      </c>
      <c r="K54" s="418"/>
      <c r="L54" s="445"/>
      <c r="P54" s="404"/>
      <c r="Q54" s="132"/>
      <c r="R54" s="132"/>
      <c r="S54" s="132"/>
      <c r="T54" s="132"/>
      <c r="U54" s="113"/>
      <c r="V54" s="136"/>
    </row>
    <row r="55">
      <c r="B55" s="447" t="s">
        <v>123</v>
      </c>
      <c r="C55" s="424"/>
      <c r="D55" s="425"/>
      <c r="E55" s="431">
        <f>sum(I55:I57)</f>
        <v>500</v>
      </c>
      <c r="F55" s="448" t="s">
        <v>123</v>
      </c>
      <c r="G55" s="424"/>
      <c r="H55" s="425"/>
      <c r="I55" s="456">
        <v>200.0</v>
      </c>
      <c r="J55" s="450">
        <f t="array" ref="J55">sum(IF(($R$3:$R$100=F55), $T$3:$T$100, 0))</f>
        <v>915</v>
      </c>
      <c r="K55" s="430"/>
      <c r="L55" s="431">
        <f>sum(J55:J58)</f>
        <v>2315</v>
      </c>
      <c r="P55" s="404"/>
      <c r="Q55" s="132"/>
      <c r="R55" s="132"/>
      <c r="S55" s="132"/>
      <c r="T55" s="132"/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200.0</v>
      </c>
      <c r="J56" s="453">
        <f t="array" ref="J56">sum(IF(($R$3:$R$100=F56), $T$3:$T$100, 0))</f>
        <v>580</v>
      </c>
      <c r="K56" s="418"/>
      <c r="L56" s="434"/>
      <c r="P56" s="404"/>
      <c r="Q56" s="132"/>
      <c r="R56" s="132"/>
      <c r="S56" s="132"/>
      <c r="T56" s="132"/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100.0</v>
      </c>
      <c r="J57" s="450">
        <f t="array" ref="J57">sum(IF(($R$3:$R$100=F57), $T$3:$T$100, 0))</f>
        <v>420</v>
      </c>
      <c r="K57" s="430"/>
      <c r="L57" s="51"/>
      <c r="P57" s="404"/>
      <c r="Q57" s="132"/>
      <c r="R57" s="132"/>
      <c r="S57" s="132"/>
      <c r="T57" s="132"/>
      <c r="U57" s="113"/>
      <c r="V57" s="136"/>
    </row>
    <row r="58">
      <c r="B58" s="458" t="s">
        <v>127</v>
      </c>
      <c r="C58" s="459"/>
      <c r="D58" s="460"/>
      <c r="E58" s="461">
        <f>I58+I59</f>
        <v>300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400</v>
      </c>
      <c r="K58" s="418"/>
      <c r="L58" s="463"/>
      <c r="P58" s="404"/>
      <c r="Q58" s="132"/>
      <c r="R58" s="132"/>
      <c r="S58" s="132"/>
      <c r="T58" s="102"/>
      <c r="U58" s="113"/>
      <c r="V58" s="136"/>
    </row>
    <row r="59">
      <c r="B59" s="413"/>
      <c r="C59" s="414"/>
      <c r="D59" s="415"/>
      <c r="E59" s="51"/>
      <c r="F59" s="457" t="s">
        <v>147</v>
      </c>
      <c r="G59" s="414"/>
      <c r="H59" s="415"/>
      <c r="I59" s="441">
        <v>200.0</v>
      </c>
      <c r="J59" s="450">
        <f t="array" ref="J59">sum(IF(($R$3:$R$100=F59), $T$3:$T$100, 0))</f>
        <v>433</v>
      </c>
      <c r="K59" s="430"/>
      <c r="L59" s="51"/>
      <c r="P59" s="404"/>
      <c r="Q59" s="132"/>
      <c r="R59" s="132"/>
      <c r="S59" s="132"/>
      <c r="T59" s="132"/>
      <c r="U59" s="113"/>
      <c r="V59" s="136"/>
    </row>
    <row r="60">
      <c r="B60" s="458" t="s">
        <v>131</v>
      </c>
      <c r="C60" s="459"/>
      <c r="D60" s="460"/>
      <c r="E60" s="464"/>
      <c r="F60" s="462" t="s">
        <v>148</v>
      </c>
      <c r="G60" s="459"/>
      <c r="H60" s="460"/>
      <c r="I60" s="452">
        <v>200.0</v>
      </c>
      <c r="J60" s="453">
        <f t="array" ref="J60">sum(IF(($R$3:$R$100=F60), $T$3:$T$100, 0))</f>
        <v>170</v>
      </c>
      <c r="K60" s="418"/>
      <c r="L60" s="463"/>
      <c r="P60" s="404"/>
      <c r="Q60" s="132"/>
      <c r="R60" s="132"/>
      <c r="S60" s="132"/>
      <c r="T60" s="132"/>
      <c r="U60" s="113"/>
      <c r="V60" s="136"/>
    </row>
    <row r="61">
      <c r="B61" s="438"/>
      <c r="D61" s="439"/>
      <c r="E61" s="37"/>
      <c r="F61" s="454" t="s">
        <v>23</v>
      </c>
      <c r="H61" s="439"/>
      <c r="I61" s="449">
        <v>800.0</v>
      </c>
      <c r="J61" s="450">
        <f t="array" ref="J61">sum(IF(($R$3:$R$100=F61), $T$3:$T$100, 0))</f>
        <v>725</v>
      </c>
      <c r="K61" s="430"/>
      <c r="L61" s="37"/>
      <c r="P61" s="404"/>
      <c r="Q61" s="132"/>
      <c r="R61" s="132"/>
      <c r="S61" s="132"/>
      <c r="T61" s="132"/>
      <c r="U61" s="113"/>
      <c r="V61" s="136"/>
    </row>
    <row r="62">
      <c r="B62" s="442"/>
      <c r="C62" s="443"/>
      <c r="D62" s="444"/>
      <c r="E62" s="445"/>
      <c r="F62" s="455" t="s">
        <v>149</v>
      </c>
      <c r="G62" s="443"/>
      <c r="H62" s="444"/>
      <c r="I62" s="452">
        <f>10000+2500</f>
        <v>12500</v>
      </c>
      <c r="J62" s="453">
        <f t="array" ref="J62">sum(IF(($R$3:$R$100=F62), $T$3:$T$100, 0))</f>
        <v>0</v>
      </c>
      <c r="K62" s="418"/>
      <c r="L62" s="445"/>
      <c r="P62" s="404"/>
      <c r="Q62" s="132"/>
      <c r="R62" s="132"/>
      <c r="S62" s="132"/>
      <c r="T62" s="132"/>
      <c r="U62" s="113"/>
      <c r="V62" s="136"/>
    </row>
    <row r="63">
      <c r="B63" s="38" t="s">
        <v>134</v>
      </c>
      <c r="D63" s="439"/>
      <c r="E63" s="465"/>
      <c r="F63" s="454" t="s">
        <v>150</v>
      </c>
      <c r="H63" s="439"/>
      <c r="I63" s="441">
        <v>2500.0</v>
      </c>
      <c r="J63" s="450">
        <f t="array" ref="J63">sum(IF(($R$3:$R$100=F63), $T$3:$T$100, 0))</f>
        <v>0</v>
      </c>
      <c r="K63" s="430"/>
      <c r="L63" s="466"/>
      <c r="P63" s="404"/>
      <c r="Q63" s="132"/>
      <c r="R63" s="132"/>
      <c r="S63" s="132"/>
      <c r="T63" s="132"/>
      <c r="U63" s="109"/>
      <c r="V63" s="136"/>
    </row>
    <row r="64">
      <c r="B64" s="432"/>
      <c r="D64" s="433"/>
      <c r="E64" s="434"/>
      <c r="F64" s="451" t="s">
        <v>131</v>
      </c>
      <c r="H64" s="433"/>
      <c r="I64" s="461">
        <v>0.0</v>
      </c>
      <c r="J64" s="467">
        <f t="array" ref="J64">sum(IF(($R$3:$R$100=F64), $T$3:$T$100, 0))</f>
        <v>11920</v>
      </c>
      <c r="K64" s="460"/>
      <c r="L64" s="445"/>
      <c r="P64" s="404"/>
      <c r="Q64" s="132"/>
      <c r="R64" s="132"/>
      <c r="S64" s="132"/>
      <c r="T64" s="132"/>
      <c r="U64" s="113"/>
      <c r="V64" s="136"/>
    </row>
    <row r="65">
      <c r="B65" s="447" t="s">
        <v>26</v>
      </c>
      <c r="C65" s="424"/>
      <c r="D65" s="424"/>
      <c r="E65" s="431"/>
      <c r="F65" s="448" t="s">
        <v>116</v>
      </c>
      <c r="G65" s="424"/>
      <c r="H65" s="425"/>
      <c r="I65" s="449">
        <v>0.0</v>
      </c>
      <c r="J65" s="468">
        <f t="array" ref="J65">sum(IF(($R$3:$R$100=F65), $T$3:$T$100, 0))</f>
        <v>2500</v>
      </c>
      <c r="K65" s="425"/>
      <c r="L65" s="466"/>
      <c r="P65" s="404"/>
      <c r="Q65" s="132"/>
      <c r="R65" s="132"/>
      <c r="S65" s="132"/>
      <c r="T65" s="132"/>
      <c r="U65" s="113"/>
      <c r="V65" s="136"/>
    </row>
    <row r="66">
      <c r="B66" s="442"/>
      <c r="C66" s="443"/>
      <c r="D66" s="443"/>
      <c r="E66" s="445"/>
      <c r="F66" s="469" t="s">
        <v>121</v>
      </c>
      <c r="G66" s="443"/>
      <c r="H66" s="444"/>
      <c r="I66" s="422">
        <v>0.0</v>
      </c>
      <c r="J66" s="470">
        <f t="array" ref="J66">sum(IF(($R$3:$R$100=F66), $T$3:$T$100, 0))</f>
        <v>0</v>
      </c>
      <c r="K66" s="460"/>
      <c r="L66" s="445"/>
      <c r="P66" s="404"/>
      <c r="Q66" s="132"/>
      <c r="R66" s="132"/>
      <c r="S66" s="132"/>
      <c r="T66" s="132"/>
      <c r="U66" s="113"/>
      <c r="V66" s="136"/>
    </row>
    <row r="67">
      <c r="B67" s="447" t="s">
        <v>139</v>
      </c>
      <c r="C67" s="424"/>
      <c r="D67" s="424"/>
      <c r="E67" s="431"/>
      <c r="F67" s="448" t="s">
        <v>125</v>
      </c>
      <c r="G67" s="424"/>
      <c r="H67" s="425"/>
      <c r="I67" s="441">
        <v>0.0</v>
      </c>
      <c r="J67" s="468">
        <f t="array" ref="J67">sum(IF(($R$3:$R$100=F67), $T$3:$T$100, 0))</f>
        <v>0</v>
      </c>
      <c r="K67" s="425"/>
      <c r="L67" s="466"/>
      <c r="P67" s="404"/>
      <c r="Q67" s="132"/>
      <c r="R67" s="132"/>
      <c r="S67" s="132"/>
      <c r="T67" s="132"/>
      <c r="U67" s="113"/>
      <c r="V67" s="136"/>
    </row>
    <row r="68">
      <c r="B68" s="442"/>
      <c r="C68" s="443"/>
      <c r="D68" s="443"/>
      <c r="E68" s="445"/>
      <c r="F68" s="469" t="s">
        <v>129</v>
      </c>
      <c r="G68" s="443"/>
      <c r="H68" s="444"/>
      <c r="I68" s="471">
        <v>0.0</v>
      </c>
      <c r="J68" s="472">
        <f t="array" ref="J68">sum(IF(($R$3:$R$100=F68), $T$3:$T$100, 0))</f>
        <v>0</v>
      </c>
      <c r="K68" s="418"/>
      <c r="L68" s="445"/>
      <c r="P68" s="404"/>
      <c r="Q68" s="132"/>
      <c r="R68" s="132"/>
      <c r="S68" s="132"/>
      <c r="T68" s="102"/>
      <c r="U68" s="113"/>
      <c r="V68" s="136"/>
    </row>
    <row r="69">
      <c r="F69" s="298" t="s">
        <v>132</v>
      </c>
      <c r="P69" s="404"/>
      <c r="Q69" s="132"/>
      <c r="R69" s="132"/>
      <c r="S69" s="132"/>
      <c r="T69" s="132"/>
      <c r="U69" s="113"/>
      <c r="V69" s="136"/>
    </row>
    <row r="70">
      <c r="F70" s="298" t="s">
        <v>26</v>
      </c>
      <c r="H70" s="473" t="s">
        <v>96</v>
      </c>
      <c r="I70" s="474">
        <f t="shared" ref="I70:J70" si="2">SUM(I45:I68)</f>
        <v>39870</v>
      </c>
      <c r="J70" s="474">
        <f t="shared" si="2"/>
        <v>46336</v>
      </c>
      <c r="L70" s="475">
        <f t="shared" ref="L70:L72" si="4">I70-J70</f>
        <v>-6466</v>
      </c>
      <c r="P70" s="404"/>
      <c r="Q70" s="132"/>
      <c r="R70" s="132"/>
      <c r="S70" s="132"/>
      <c r="T70" s="132"/>
      <c r="U70" s="113"/>
      <c r="V70" s="136"/>
    </row>
    <row r="71">
      <c r="F71" s="298" t="s">
        <v>151</v>
      </c>
      <c r="H71" s="10" t="s">
        <v>190</v>
      </c>
      <c r="I71" s="136">
        <f t="shared" ref="I71:J71" si="3">I46+I47+I49+I58+I59+I63+I67+I68+I62</f>
        <v>17590</v>
      </c>
      <c r="J71" s="136">
        <f t="shared" si="3"/>
        <v>2971</v>
      </c>
      <c r="L71" s="298">
        <f t="shared" si="4"/>
        <v>14619</v>
      </c>
      <c r="P71" s="404"/>
      <c r="Q71" s="132"/>
      <c r="R71" s="132"/>
      <c r="S71" s="132"/>
      <c r="T71" s="132"/>
      <c r="U71" s="113"/>
      <c r="V71" s="136"/>
    </row>
    <row r="72">
      <c r="F72" s="298" t="s">
        <v>152</v>
      </c>
      <c r="H72" s="10" t="s">
        <v>51</v>
      </c>
      <c r="I72" s="136">
        <f t="shared" ref="I72:J72" si="5">I70-I71</f>
        <v>22280</v>
      </c>
      <c r="J72" s="136">
        <f t="shared" si="5"/>
        <v>43365</v>
      </c>
      <c r="L72" s="298">
        <f t="shared" si="4"/>
        <v>-21085</v>
      </c>
      <c r="P72" s="404"/>
      <c r="Q72" s="132"/>
      <c r="R72" s="132"/>
      <c r="S72" s="132"/>
      <c r="T72" s="132"/>
      <c r="U72" s="113"/>
      <c r="V72" s="136"/>
    </row>
    <row r="73">
      <c r="F73" s="298" t="s">
        <v>153</v>
      </c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P75" s="404"/>
      <c r="Q75" s="132"/>
      <c r="R75" s="132"/>
      <c r="S75" s="132"/>
      <c r="T75" s="132"/>
      <c r="U75" s="113"/>
      <c r="V75" s="136"/>
    </row>
    <row r="76">
      <c r="P76" s="404"/>
      <c r="Q76" s="132"/>
      <c r="R76" s="132"/>
      <c r="S76" s="132"/>
      <c r="T76" s="132"/>
      <c r="U76" s="113"/>
      <c r="V76" s="136"/>
    </row>
    <row r="77"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D81" s="10" t="s">
        <v>245</v>
      </c>
      <c r="E81" s="111">
        <v>20000.0</v>
      </c>
      <c r="F81" s="111">
        <v>20.0</v>
      </c>
      <c r="P81" s="404"/>
      <c r="Q81" s="102"/>
      <c r="R81" s="102"/>
      <c r="S81" s="102"/>
      <c r="T81" s="102"/>
      <c r="U81" s="113"/>
      <c r="V81" s="136"/>
    </row>
    <row r="82">
      <c r="D82" s="10" t="s">
        <v>246</v>
      </c>
      <c r="E82" s="111">
        <v>5000.0</v>
      </c>
      <c r="F82" s="10">
        <v>25.0</v>
      </c>
      <c r="P82" s="404"/>
      <c r="Q82" s="102"/>
      <c r="R82" s="102"/>
      <c r="S82" s="102"/>
      <c r="T82" s="102"/>
      <c r="U82" s="113"/>
      <c r="V82" s="136"/>
    </row>
    <row r="83">
      <c r="D83" s="10" t="s">
        <v>247</v>
      </c>
      <c r="E83" s="111">
        <v>15000.0</v>
      </c>
      <c r="F83" s="10">
        <v>40.0</v>
      </c>
      <c r="P83" s="404"/>
      <c r="Q83" s="102"/>
      <c r="R83" s="102"/>
      <c r="S83" s="102"/>
      <c r="T83" s="102"/>
      <c r="U83" s="113"/>
      <c r="V83" s="136"/>
    </row>
    <row r="84">
      <c r="D84" s="10" t="s">
        <v>248</v>
      </c>
      <c r="E84" s="111">
        <v>10000.0</v>
      </c>
      <c r="F84" s="10">
        <v>50.0</v>
      </c>
      <c r="P84" s="112"/>
      <c r="Q84" s="102"/>
      <c r="R84" s="102"/>
      <c r="S84" s="102"/>
      <c r="T84" s="102"/>
      <c r="U84" s="113"/>
      <c r="V84" s="136"/>
    </row>
    <row r="85">
      <c r="P85" s="112"/>
      <c r="Q85" s="102"/>
      <c r="R85" s="102"/>
      <c r="S85" s="102"/>
      <c r="T85" s="102"/>
      <c r="U85" s="113"/>
      <c r="V85" s="136"/>
    </row>
    <row r="86">
      <c r="P86" s="112"/>
      <c r="Q86" s="102"/>
      <c r="R86" s="102"/>
      <c r="S86" s="102"/>
      <c r="T86" s="102"/>
      <c r="U86" s="113"/>
      <c r="V86" s="136"/>
    </row>
    <row r="87">
      <c r="P87" s="112"/>
      <c r="Q87" s="102"/>
      <c r="R87" s="102"/>
      <c r="S87" s="102"/>
      <c r="T87" s="102"/>
      <c r="U87" s="113"/>
      <c r="V87" s="136"/>
    </row>
    <row r="88">
      <c r="P88" s="112"/>
      <c r="Q88" s="102"/>
      <c r="R88" s="102"/>
      <c r="S88" s="102"/>
      <c r="T88" s="102"/>
      <c r="U88" s="113"/>
      <c r="V88" s="136"/>
    </row>
    <row r="89">
      <c r="P89" s="112"/>
      <c r="Q89" s="102"/>
      <c r="R89" s="102"/>
      <c r="S89" s="102"/>
      <c r="T89" s="102"/>
      <c r="U89" s="113"/>
      <c r="V89" s="136"/>
    </row>
    <row r="90">
      <c r="P90" s="112"/>
      <c r="Q90" s="102"/>
      <c r="R90" s="102"/>
      <c r="S90" s="102"/>
      <c r="T90" s="102"/>
      <c r="U90" s="113"/>
      <c r="V90" s="136"/>
    </row>
    <row r="91">
      <c r="P91" s="112"/>
      <c r="Q91" s="102"/>
      <c r="R91" s="102"/>
      <c r="S91" s="102"/>
      <c r="T91" s="102"/>
      <c r="U91" s="113"/>
      <c r="V91" s="136"/>
    </row>
    <row r="92">
      <c r="P92" s="112"/>
      <c r="Q92" s="102"/>
      <c r="R92" s="102"/>
      <c r="S92" s="102"/>
      <c r="T92" s="102"/>
      <c r="U92" s="113"/>
      <c r="V92" s="136"/>
    </row>
    <row r="93">
      <c r="P93" s="112"/>
      <c r="Q93" s="102"/>
      <c r="R93" s="102"/>
      <c r="S93" s="102"/>
      <c r="T93" s="102"/>
      <c r="U93" s="113"/>
      <c r="V93" s="136"/>
    </row>
    <row r="94">
      <c r="P94" s="112"/>
      <c r="Q94" s="102"/>
      <c r="R94" s="102"/>
      <c r="S94" s="102"/>
      <c r="T94" s="102"/>
      <c r="U94" s="113"/>
      <c r="V94" s="136"/>
    </row>
    <row r="95">
      <c r="P95" s="112"/>
      <c r="Q95" s="102"/>
      <c r="R95" s="102"/>
      <c r="S95" s="102"/>
      <c r="T95" s="102"/>
      <c r="U95" s="113"/>
      <c r="V95" s="136"/>
    </row>
    <row r="96">
      <c r="P96" s="112"/>
      <c r="Q96" s="102"/>
      <c r="R96" s="102"/>
      <c r="S96" s="102"/>
      <c r="T96" s="102"/>
      <c r="U96" s="113"/>
      <c r="V96" s="136"/>
    </row>
    <row r="97">
      <c r="P97" s="112"/>
      <c r="Q97" s="102"/>
      <c r="R97" s="102"/>
      <c r="S97" s="102"/>
      <c r="T97" s="102"/>
      <c r="U97" s="113"/>
      <c r="V97" s="136"/>
    </row>
    <row r="98">
      <c r="P98" s="112"/>
      <c r="Q98" s="102"/>
      <c r="R98" s="102"/>
      <c r="S98" s="102"/>
      <c r="T98" s="102"/>
      <c r="U98" s="113"/>
      <c r="V98" s="136"/>
    </row>
    <row r="99">
      <c r="P99" s="112"/>
      <c r="Q99" s="102"/>
      <c r="R99" s="102"/>
      <c r="S99" s="102"/>
      <c r="T99" s="102"/>
      <c r="U99" s="113"/>
      <c r="V99" s="136"/>
    </row>
    <row r="100">
      <c r="P100" s="112"/>
      <c r="Q100" s="102"/>
      <c r="R100" s="102"/>
      <c r="S100" s="102"/>
      <c r="T100" s="102"/>
      <c r="U100" s="11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89">
    <mergeCell ref="J47:K47"/>
    <mergeCell ref="F48:H48"/>
    <mergeCell ref="J48:K48"/>
    <mergeCell ref="B42:K43"/>
    <mergeCell ref="L42:L43"/>
    <mergeCell ref="B44:D44"/>
    <mergeCell ref="B45:D50"/>
    <mergeCell ref="E45:E50"/>
    <mergeCell ref="L45:L50"/>
    <mergeCell ref="J46:K46"/>
    <mergeCell ref="F54:H54"/>
    <mergeCell ref="J54:K54"/>
    <mergeCell ref="F50:H50"/>
    <mergeCell ref="J50:K50"/>
    <mergeCell ref="F51:H51"/>
    <mergeCell ref="J51:K51"/>
    <mergeCell ref="L51:L54"/>
    <mergeCell ref="F52:H52"/>
    <mergeCell ref="F53:H53"/>
    <mergeCell ref="J56:K56"/>
    <mergeCell ref="J57:K57"/>
    <mergeCell ref="J52:K52"/>
    <mergeCell ref="J53:K53"/>
    <mergeCell ref="F55:H55"/>
    <mergeCell ref="J55:K55"/>
    <mergeCell ref="L55:L57"/>
    <mergeCell ref="F56:H56"/>
    <mergeCell ref="F57:H57"/>
    <mergeCell ref="F59:H59"/>
    <mergeCell ref="F62:H62"/>
    <mergeCell ref="F58:H58"/>
    <mergeCell ref="J58:K58"/>
    <mergeCell ref="L58:L59"/>
    <mergeCell ref="J59:K59"/>
    <mergeCell ref="J60:K60"/>
    <mergeCell ref="L60:L62"/>
    <mergeCell ref="J61:K61"/>
    <mergeCell ref="J62:K62"/>
    <mergeCell ref="J64:K64"/>
    <mergeCell ref="J65:K65"/>
    <mergeCell ref="F60:H60"/>
    <mergeCell ref="F61:H61"/>
    <mergeCell ref="F63:H63"/>
    <mergeCell ref="J63:K63"/>
    <mergeCell ref="L63:L64"/>
    <mergeCell ref="F64:H64"/>
    <mergeCell ref="F65:H65"/>
    <mergeCell ref="B65:D66"/>
    <mergeCell ref="B67:D68"/>
    <mergeCell ref="E67:E68"/>
    <mergeCell ref="F67:H67"/>
    <mergeCell ref="F68:H68"/>
    <mergeCell ref="J70:K70"/>
    <mergeCell ref="J71:K71"/>
    <mergeCell ref="J72:K72"/>
    <mergeCell ref="J73:K73"/>
    <mergeCell ref="J74:K74"/>
    <mergeCell ref="B60:D62"/>
    <mergeCell ref="B63:D64"/>
    <mergeCell ref="E63:E64"/>
    <mergeCell ref="E65:E66"/>
    <mergeCell ref="L65:L66"/>
    <mergeCell ref="F66:H66"/>
    <mergeCell ref="L67:L68"/>
    <mergeCell ref="J68:K68"/>
    <mergeCell ref="B2:F2"/>
    <mergeCell ref="H2:H3"/>
    <mergeCell ref="I2:I3"/>
    <mergeCell ref="L2:M2"/>
    <mergeCell ref="L15:M15"/>
    <mergeCell ref="L24:M24"/>
    <mergeCell ref="L33:M33"/>
    <mergeCell ref="J44:K44"/>
    <mergeCell ref="J45:K45"/>
    <mergeCell ref="F45:H45"/>
    <mergeCell ref="F46:H46"/>
    <mergeCell ref="F44:H44"/>
    <mergeCell ref="F47:H47"/>
    <mergeCell ref="F49:H49"/>
    <mergeCell ref="J49:K49"/>
    <mergeCell ref="B51:D54"/>
    <mergeCell ref="E51:E54"/>
    <mergeCell ref="B55:D57"/>
    <mergeCell ref="E55:E57"/>
    <mergeCell ref="B58:D59"/>
    <mergeCell ref="E58:E59"/>
    <mergeCell ref="E60:E62"/>
    <mergeCell ref="J66:K66"/>
    <mergeCell ref="J67:K67"/>
  </mergeCells>
  <conditionalFormatting sqref="J45:K68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7530</v>
      </c>
      <c r="L2" s="84" t="s">
        <v>34</v>
      </c>
      <c r="M2" s="86"/>
      <c r="N2" s="400">
        <f>M4+M5+M8+M9+M12</f>
        <v>4693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45990.0</v>
      </c>
      <c r="Q3" s="132" t="s">
        <v>119</v>
      </c>
      <c r="R3" s="132" t="s">
        <v>135</v>
      </c>
      <c r="S3" s="132" t="s">
        <v>120</v>
      </c>
      <c r="T3" s="132">
        <v>745.0</v>
      </c>
      <c r="U3" s="109"/>
      <c r="V3" s="136"/>
    </row>
    <row r="4">
      <c r="B4" s="317">
        <v>45986.0</v>
      </c>
      <c r="C4" s="108"/>
      <c r="D4" s="150">
        <v>39500.0</v>
      </c>
      <c r="E4" s="108" t="s">
        <v>143</v>
      </c>
      <c r="F4" s="174" t="s">
        <v>120</v>
      </c>
      <c r="H4" s="318" t="str">
        <f t="shared" ref="H4:H35" si="1">TEXT(I4, "dddd")
</f>
        <v>Sunday</v>
      </c>
      <c r="I4" s="319">
        <v>45956.0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3000</v>
      </c>
      <c r="N4" s="322">
        <f>'Nov 25'!M4</f>
        <v>20</v>
      </c>
      <c r="P4" s="404">
        <v>45987.0</v>
      </c>
      <c r="Q4" s="132" t="s">
        <v>131</v>
      </c>
      <c r="R4" s="132" t="s">
        <v>131</v>
      </c>
      <c r="S4" s="132" t="s">
        <v>136</v>
      </c>
      <c r="T4" s="132">
        <v>2480.0</v>
      </c>
      <c r="U4" s="109"/>
      <c r="V4" s="136"/>
    </row>
    <row r="5">
      <c r="B5" s="317">
        <v>45987.0</v>
      </c>
      <c r="C5" s="108"/>
      <c r="D5" s="142">
        <v>20000.0</v>
      </c>
      <c r="E5" s="108" t="s">
        <v>120</v>
      </c>
      <c r="F5" s="174" t="s">
        <v>136</v>
      </c>
      <c r="H5" s="318" t="str">
        <f t="shared" si="1"/>
        <v>Monday</v>
      </c>
      <c r="I5" s="319">
        <v>45957.0</v>
      </c>
      <c r="J5" s="170">
        <f t="array" ref="J5">sum(IF(($P$3:$P$100=I5), $T$3:$T$100, 0))</f>
        <v>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1432</v>
      </c>
      <c r="N5" s="326">
        <f>'Nov 25'!M5</f>
        <v>1477</v>
      </c>
      <c r="P5" s="404">
        <v>45987.0</v>
      </c>
      <c r="Q5" s="132" t="s">
        <v>123</v>
      </c>
      <c r="R5" s="132" t="s">
        <v>145</v>
      </c>
      <c r="S5" s="132" t="s">
        <v>51</v>
      </c>
      <c r="T5" s="132">
        <v>5000.0</v>
      </c>
      <c r="U5" s="109"/>
      <c r="V5" s="136"/>
    </row>
    <row r="6">
      <c r="B6" s="476">
        <v>45987.0</v>
      </c>
      <c r="C6" s="477"/>
      <c r="D6" s="478">
        <v>0.0</v>
      </c>
      <c r="E6" s="477" t="s">
        <v>120</v>
      </c>
      <c r="F6" s="479"/>
      <c r="H6" s="318" t="str">
        <f t="shared" si="1"/>
        <v>Tuesday</v>
      </c>
      <c r="I6" s="319">
        <v>45958.0</v>
      </c>
      <c r="J6" s="170">
        <f t="array" ref="J6">sum(IF(($P$3:$P$100=I6), $T$3:$T$100, 0))</f>
        <v>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2136</v>
      </c>
      <c r="N6" s="326">
        <f>'Nov 25'!M6</f>
        <v>17156</v>
      </c>
      <c r="P6" s="404">
        <v>45991.0</v>
      </c>
      <c r="Q6" s="132" t="s">
        <v>119</v>
      </c>
      <c r="R6" s="132" t="s">
        <v>142</v>
      </c>
      <c r="S6" s="132" t="s">
        <v>51</v>
      </c>
      <c r="T6" s="132">
        <f>1000+170</f>
        <v>1170</v>
      </c>
      <c r="U6" s="109"/>
      <c r="V6" s="136"/>
    </row>
    <row r="7">
      <c r="B7" s="317">
        <v>45987.0</v>
      </c>
      <c r="C7" s="142"/>
      <c r="D7" s="142">
        <v>10000.0</v>
      </c>
      <c r="E7" s="108" t="s">
        <v>136</v>
      </c>
      <c r="F7" s="174" t="s">
        <v>51</v>
      </c>
      <c r="H7" s="318" t="str">
        <f t="shared" si="1"/>
        <v>Wednesday</v>
      </c>
      <c r="I7" s="319">
        <v>45959.0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'Nov 25'!M7</f>
        <v>285</v>
      </c>
      <c r="P7" s="404">
        <v>45991.0</v>
      </c>
      <c r="Q7" s="132" t="s">
        <v>123</v>
      </c>
      <c r="R7" s="132" t="s">
        <v>123</v>
      </c>
      <c r="S7" s="132" t="s">
        <v>51</v>
      </c>
      <c r="T7" s="132">
        <v>1000.0</v>
      </c>
      <c r="U7" s="109"/>
      <c r="V7" s="136"/>
    </row>
    <row r="8">
      <c r="B8" s="317">
        <v>45990.0</v>
      </c>
      <c r="C8" s="108"/>
      <c r="D8" s="142">
        <v>1000.0</v>
      </c>
      <c r="E8" s="108" t="s">
        <v>136</v>
      </c>
      <c r="F8" s="174" t="s">
        <v>12</v>
      </c>
      <c r="H8" s="318" t="str">
        <f t="shared" si="1"/>
        <v>Thursday</v>
      </c>
      <c r="I8" s="319">
        <v>45960.0</v>
      </c>
      <c r="J8" s="170">
        <f t="array" ref="J8">sum(IF(($P$3:$P$100=I8), $T$3:$T$100, 0))</f>
        <v>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150</v>
      </c>
      <c r="N8" s="326">
        <f>'Nov 25'!M8</f>
        <v>532</v>
      </c>
      <c r="P8" s="404">
        <v>45990.0</v>
      </c>
      <c r="Q8" s="132" t="s">
        <v>26</v>
      </c>
      <c r="R8" s="132" t="s">
        <v>26</v>
      </c>
      <c r="S8" s="132" t="s">
        <v>12</v>
      </c>
      <c r="T8" s="132">
        <v>1005.0</v>
      </c>
      <c r="U8" s="109"/>
      <c r="V8" s="136"/>
    </row>
    <row r="9">
      <c r="B9" s="317">
        <v>45992.0</v>
      </c>
      <c r="C9" s="108"/>
      <c r="D9" s="108">
        <v>15000.0</v>
      </c>
      <c r="E9" s="108" t="s">
        <v>120</v>
      </c>
      <c r="F9" s="174" t="s">
        <v>136</v>
      </c>
      <c r="H9" s="318" t="str">
        <f t="shared" si="1"/>
        <v>Friday</v>
      </c>
      <c r="I9" s="319">
        <v>45961.0</v>
      </c>
      <c r="J9" s="170">
        <f t="array" ref="J9">sum(IF(($P$3:$P$100=I9), $T$3:$T$100, 0))</f>
        <v>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'Nov 25'!M9</f>
        <v>2</v>
      </c>
      <c r="P9" s="404">
        <v>45991.0</v>
      </c>
      <c r="Q9" s="132" t="s">
        <v>26</v>
      </c>
      <c r="R9" s="132" t="s">
        <v>26</v>
      </c>
      <c r="S9" s="132" t="s">
        <v>51</v>
      </c>
      <c r="T9" s="132">
        <v>200.0</v>
      </c>
      <c r="U9" s="109"/>
      <c r="V9" s="136"/>
    </row>
    <row r="10">
      <c r="B10" s="317">
        <v>45992.0</v>
      </c>
      <c r="C10" s="142"/>
      <c r="D10" s="142">
        <v>20000.0</v>
      </c>
      <c r="E10" s="108" t="s">
        <v>136</v>
      </c>
      <c r="F10" s="174" t="s">
        <v>51</v>
      </c>
      <c r="H10" s="318" t="str">
        <f t="shared" si="1"/>
        <v>Saturday</v>
      </c>
      <c r="I10" s="319">
        <v>45962.0</v>
      </c>
      <c r="J10" s="170">
        <f t="array" ref="J10">sum(IF(($P$3:$P$100=I10), $T$3:$T$100, 0))</f>
        <v>0</v>
      </c>
      <c r="L10" s="333" t="s">
        <v>137</v>
      </c>
      <c r="M10" s="374">
        <f>N10-10000</f>
        <v>90000</v>
      </c>
      <c r="N10" s="326">
        <f>'Nov 25'!M10</f>
        <v>100000</v>
      </c>
      <c r="P10" s="404">
        <v>45987.0</v>
      </c>
      <c r="Q10" s="132" t="s">
        <v>127</v>
      </c>
      <c r="R10" s="132" t="s">
        <v>146</v>
      </c>
      <c r="S10" s="132" t="s">
        <v>12</v>
      </c>
      <c r="T10" s="132">
        <f>50</f>
        <v>50</v>
      </c>
      <c r="U10" s="109"/>
      <c r="V10" s="136"/>
    </row>
    <row r="11">
      <c r="B11" s="317">
        <v>46002.0</v>
      </c>
      <c r="C11" s="108"/>
      <c r="D11" s="142">
        <v>1000.0</v>
      </c>
      <c r="E11" s="108" t="s">
        <v>136</v>
      </c>
      <c r="F11" s="174" t="s">
        <v>51</v>
      </c>
      <c r="H11" s="318" t="str">
        <f t="shared" si="1"/>
        <v>Sunday</v>
      </c>
      <c r="I11" s="319">
        <v>45963.0</v>
      </c>
      <c r="J11" s="170">
        <f t="array" ref="J11">sum(IF(($P$3:$P$100=I11), $T$3:$T$100, 0))</f>
        <v>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7550</v>
      </c>
      <c r="N11" s="326">
        <f>'Nov 25'!M11</f>
        <v>7550</v>
      </c>
      <c r="P11" s="404">
        <v>45992.0</v>
      </c>
      <c r="Q11" s="132" t="s">
        <v>119</v>
      </c>
      <c r="R11" s="132" t="s">
        <v>138</v>
      </c>
      <c r="S11" s="132" t="s">
        <v>51</v>
      </c>
      <c r="T11" s="132">
        <v>240.0</v>
      </c>
      <c r="U11" s="109"/>
      <c r="V11" s="136"/>
    </row>
    <row r="12">
      <c r="B12" s="317">
        <v>46005.0</v>
      </c>
      <c r="C12" s="108">
        <v>10.0</v>
      </c>
      <c r="D12" s="142">
        <v>5000.0</v>
      </c>
      <c r="E12" s="108" t="s">
        <v>124</v>
      </c>
      <c r="F12" s="174" t="s">
        <v>136</v>
      </c>
      <c r="H12" s="318" t="str">
        <f t="shared" si="1"/>
        <v>Monday</v>
      </c>
      <c r="I12" s="319">
        <v>45964.0</v>
      </c>
      <c r="J12" s="170">
        <f t="array" ref="J12">sum(IF(($P$3:$P$100=I12), $T$3:$T$100, 0))</f>
        <v>0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109</v>
      </c>
      <c r="N12" s="326">
        <f>'Nov 25'!M12</f>
        <v>339</v>
      </c>
      <c r="P12" s="404">
        <v>45992.0</v>
      </c>
      <c r="Q12" s="132" t="s">
        <v>123</v>
      </c>
      <c r="R12" s="132" t="s">
        <v>123</v>
      </c>
      <c r="S12" s="132" t="s">
        <v>51</v>
      </c>
      <c r="T12" s="132">
        <v>200.0</v>
      </c>
      <c r="U12" s="109"/>
      <c r="V12" s="136"/>
    </row>
    <row r="13">
      <c r="B13" s="317">
        <v>46005.0</v>
      </c>
      <c r="C13" s="108"/>
      <c r="D13" s="142">
        <v>5000.0</v>
      </c>
      <c r="E13" s="108" t="s">
        <v>136</v>
      </c>
      <c r="F13" s="174" t="s">
        <v>51</v>
      </c>
      <c r="H13" s="318" t="str">
        <f t="shared" si="1"/>
        <v>Tuesday</v>
      </c>
      <c r="I13" s="319">
        <v>45965.0</v>
      </c>
      <c r="J13" s="170">
        <f t="array" ref="J13">sum(IF(($P$3:$P$100=I13), $T$3:$T$100, 0))</f>
        <v>0</v>
      </c>
      <c r="L13" s="338"/>
      <c r="M13" s="339"/>
      <c r="N13" s="480" t="str">
        <f>'Nov 25'!M13</f>
        <v/>
      </c>
      <c r="P13" s="404">
        <v>45992.0</v>
      </c>
      <c r="Q13" s="132" t="s">
        <v>131</v>
      </c>
      <c r="R13" s="132" t="s">
        <v>148</v>
      </c>
      <c r="S13" s="132" t="s">
        <v>51</v>
      </c>
      <c r="T13" s="132">
        <v>10.0</v>
      </c>
      <c r="U13" s="109"/>
      <c r="V13" s="136"/>
    </row>
    <row r="14">
      <c r="B14" s="317">
        <v>46010.0</v>
      </c>
      <c r="C14" s="108"/>
      <c r="D14" s="142">
        <v>850.0</v>
      </c>
      <c r="E14" s="108" t="s">
        <v>136</v>
      </c>
      <c r="F14" s="174" t="s">
        <v>12</v>
      </c>
      <c r="H14" s="318" t="str">
        <f t="shared" si="1"/>
        <v>Wednesday</v>
      </c>
      <c r="I14" s="319">
        <v>45966.0</v>
      </c>
      <c r="J14" s="170">
        <f t="array" ref="J14">sum(IF(($P$3:$P$100=I14), $T$3:$T$100, 0))</f>
        <v>0</v>
      </c>
      <c r="P14" s="404">
        <v>45992.0</v>
      </c>
      <c r="Q14" s="132" t="s">
        <v>114</v>
      </c>
      <c r="R14" s="132" t="s">
        <v>115</v>
      </c>
      <c r="S14" s="132" t="s">
        <v>51</v>
      </c>
      <c r="T14" s="132">
        <v>13000.0</v>
      </c>
      <c r="U14" s="109"/>
      <c r="V14" s="136"/>
    </row>
    <row r="15">
      <c r="B15" s="317">
        <v>46011.0</v>
      </c>
      <c r="C15" s="108">
        <v>10.0</v>
      </c>
      <c r="D15" s="108">
        <v>10000.0</v>
      </c>
      <c r="E15" s="108" t="s">
        <v>124</v>
      </c>
      <c r="F15" s="174" t="s">
        <v>136</v>
      </c>
      <c r="H15" s="318" t="str">
        <f t="shared" si="1"/>
        <v>Thursday</v>
      </c>
      <c r="I15" s="319">
        <v>45967.0</v>
      </c>
      <c r="J15" s="170">
        <f t="array" ref="J15">sum(IF(($P$3:$P$100=I15), $T$3:$T$100, 0))</f>
        <v>0</v>
      </c>
      <c r="L15" s="137" t="s">
        <v>72</v>
      </c>
      <c r="M15" s="86"/>
      <c r="N15" s="138">
        <f>sum(N17:N22)</f>
        <v>0</v>
      </c>
      <c r="P15" s="404">
        <v>45992.0</v>
      </c>
      <c r="Q15" s="132" t="s">
        <v>114</v>
      </c>
      <c r="R15" s="132" t="s">
        <v>126</v>
      </c>
      <c r="S15" s="132" t="s">
        <v>51</v>
      </c>
      <c r="T15" s="132">
        <v>1080.0</v>
      </c>
      <c r="U15" s="109"/>
      <c r="V15" s="136"/>
    </row>
    <row r="16">
      <c r="B16" s="317">
        <v>46011.0</v>
      </c>
      <c r="C16" s="142"/>
      <c r="D16" s="142">
        <v>10000.0</v>
      </c>
      <c r="E16" s="108" t="s">
        <v>136</v>
      </c>
      <c r="F16" s="174" t="s">
        <v>51</v>
      </c>
      <c r="H16" s="318" t="str">
        <f t="shared" si="1"/>
        <v>Friday</v>
      </c>
      <c r="I16" s="319">
        <v>45968.0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404">
        <v>45992.0</v>
      </c>
      <c r="Q16" s="132" t="s">
        <v>114</v>
      </c>
      <c r="R16" s="132" t="s">
        <v>133</v>
      </c>
      <c r="S16" s="132" t="s">
        <v>51</v>
      </c>
      <c r="T16" s="132">
        <v>800.0</v>
      </c>
      <c r="U16" s="109"/>
      <c r="V16" s="136"/>
    </row>
    <row r="17">
      <c r="B17" s="317">
        <v>46015.0</v>
      </c>
      <c r="C17" s="108"/>
      <c r="D17" s="108">
        <v>400.0</v>
      </c>
      <c r="E17" s="108" t="s">
        <v>120</v>
      </c>
      <c r="F17" s="174" t="s">
        <v>136</v>
      </c>
      <c r="H17" s="318" t="str">
        <f t="shared" si="1"/>
        <v>Saturday</v>
      </c>
      <c r="I17" s="319">
        <v>45969.0</v>
      </c>
      <c r="J17" s="170">
        <f t="array" ref="J17">sum(IF(($P$3:$P$100=I17), $T$3:$T$100, 0))</f>
        <v>0</v>
      </c>
      <c r="L17" s="143">
        <v>45774.0</v>
      </c>
      <c r="M17" s="132">
        <v>2500.0</v>
      </c>
      <c r="N17" s="103" t="s">
        <v>185</v>
      </c>
      <c r="P17" s="404">
        <v>45992.0</v>
      </c>
      <c r="Q17" s="132" t="s">
        <v>119</v>
      </c>
      <c r="R17" s="132" t="s">
        <v>141</v>
      </c>
      <c r="S17" s="132" t="s">
        <v>51</v>
      </c>
      <c r="T17" s="132">
        <f>5000+120</f>
        <v>5120</v>
      </c>
      <c r="U17" s="109"/>
      <c r="V17" s="136"/>
    </row>
    <row r="18">
      <c r="B18" s="317">
        <v>46015.0</v>
      </c>
      <c r="C18" s="108"/>
      <c r="D18" s="108">
        <v>300.0</v>
      </c>
      <c r="E18" s="108" t="s">
        <v>136</v>
      </c>
      <c r="F18" s="174" t="s">
        <v>12</v>
      </c>
      <c r="H18" s="318" t="str">
        <f t="shared" si="1"/>
        <v>Sunday</v>
      </c>
      <c r="I18" s="319">
        <v>45970.0</v>
      </c>
      <c r="J18" s="170">
        <f t="array" ref="J18">sum(IF(($P$3:$P$100=I18), $T$3:$T$100, 0))</f>
        <v>0</v>
      </c>
      <c r="L18" s="143"/>
      <c r="M18" s="132">
        <v>3000.0</v>
      </c>
      <c r="N18" s="103" t="s">
        <v>187</v>
      </c>
      <c r="P18" s="404">
        <v>45997.0</v>
      </c>
      <c r="Q18" s="132" t="s">
        <v>119</v>
      </c>
      <c r="R18" s="132" t="s">
        <v>138</v>
      </c>
      <c r="S18" s="132" t="s">
        <v>51</v>
      </c>
      <c r="T18" s="132">
        <v>760.0</v>
      </c>
      <c r="U18" s="109"/>
      <c r="V18" s="136"/>
    </row>
    <row r="19">
      <c r="B19" s="317"/>
      <c r="C19" s="112"/>
      <c r="D19" s="108"/>
      <c r="E19" s="108"/>
      <c r="F19" s="174"/>
      <c r="H19" s="318" t="str">
        <f t="shared" si="1"/>
        <v>Monday</v>
      </c>
      <c r="I19" s="319">
        <v>45971.0</v>
      </c>
      <c r="J19" s="170">
        <f t="array" ref="J19">sum(IF(($P$3:$P$100=I19), $T$3:$T$100, 0))</f>
        <v>0</v>
      </c>
      <c r="L19" s="148">
        <v>45979.0</v>
      </c>
      <c r="M19" s="132">
        <v>2050.0</v>
      </c>
      <c r="N19" s="103" t="s">
        <v>239</v>
      </c>
      <c r="P19" s="404">
        <v>45997.0</v>
      </c>
      <c r="Q19" s="132" t="s">
        <v>119</v>
      </c>
      <c r="R19" s="132" t="s">
        <v>135</v>
      </c>
      <c r="S19" s="132" t="s">
        <v>51</v>
      </c>
      <c r="T19" s="132">
        <f>220</f>
        <v>220</v>
      </c>
      <c r="U19" s="109"/>
      <c r="V19" s="136"/>
    </row>
    <row r="20">
      <c r="B20" s="317"/>
      <c r="C20" s="142"/>
      <c r="D20" s="142"/>
      <c r="E20" s="108"/>
      <c r="F20" s="174"/>
      <c r="H20" s="318" t="str">
        <f t="shared" si="1"/>
        <v>Tuesday</v>
      </c>
      <c r="I20" s="319">
        <v>45972.0</v>
      </c>
      <c r="J20" s="170">
        <f t="array" ref="J20">sum(IF(($P$3:$P$100=I20), $T$3:$T$100, 0))</f>
        <v>0</v>
      </c>
      <c r="L20" s="148"/>
      <c r="M20" s="132"/>
      <c r="N20" s="185"/>
      <c r="P20" s="404">
        <v>45996.0</v>
      </c>
      <c r="Q20" s="132" t="s">
        <v>131</v>
      </c>
      <c r="R20" s="132" t="s">
        <v>23</v>
      </c>
      <c r="S20" s="132" t="s">
        <v>51</v>
      </c>
      <c r="T20" s="132">
        <f>200</f>
        <v>200</v>
      </c>
      <c r="U20" s="109"/>
      <c r="V20" s="136"/>
    </row>
    <row r="21">
      <c r="B21" s="317"/>
      <c r="C21" s="108"/>
      <c r="D21" s="108"/>
      <c r="E21" s="108"/>
      <c r="F21" s="174"/>
      <c r="H21" s="318" t="str">
        <f t="shared" si="1"/>
        <v>Wednesday</v>
      </c>
      <c r="I21" s="319">
        <v>45973.0</v>
      </c>
      <c r="J21" s="170">
        <f t="array" ref="J21">sum(IF(($P$3:$P$100=I21), $T$3:$T$100, 0))</f>
        <v>0</v>
      </c>
      <c r="L21" s="112"/>
      <c r="M21" s="102"/>
      <c r="N21" s="48"/>
      <c r="P21" s="404">
        <v>45997.0</v>
      </c>
      <c r="Q21" s="132" t="s">
        <v>131</v>
      </c>
      <c r="R21" s="132" t="s">
        <v>148</v>
      </c>
      <c r="S21" s="132" t="s">
        <v>51</v>
      </c>
      <c r="T21" s="132">
        <v>60.0</v>
      </c>
      <c r="U21" s="109"/>
      <c r="V21" s="136"/>
    </row>
    <row r="22">
      <c r="B22" s="317"/>
      <c r="C22" s="112"/>
      <c r="D22" s="108"/>
      <c r="E22" s="108"/>
      <c r="F22" s="174"/>
      <c r="H22" s="318" t="str">
        <f t="shared" si="1"/>
        <v>Thursday</v>
      </c>
      <c r="I22" s="319">
        <v>45974.0</v>
      </c>
      <c r="J22" s="170">
        <f t="array" ref="J22">sum(IF(($P$3:$P$100=I22), $T$3:$T$100, 0))</f>
        <v>0</v>
      </c>
      <c r="L22" s="127"/>
      <c r="M22" s="133"/>
      <c r="N22" s="68"/>
      <c r="P22" s="404">
        <v>45997.0</v>
      </c>
      <c r="Q22" s="132" t="s">
        <v>119</v>
      </c>
      <c r="R22" s="132" t="s">
        <v>142</v>
      </c>
      <c r="S22" s="132" t="s">
        <v>51</v>
      </c>
      <c r="T22" s="132">
        <f>90</f>
        <v>90</v>
      </c>
      <c r="U22" s="109"/>
      <c r="V22" s="136"/>
    </row>
    <row r="23">
      <c r="B23" s="317"/>
      <c r="C23" s="108"/>
      <c r="D23" s="108"/>
      <c r="E23" s="108"/>
      <c r="F23" s="174"/>
      <c r="H23" s="318" t="str">
        <f t="shared" si="1"/>
        <v>Friday</v>
      </c>
      <c r="I23" s="319">
        <v>45975.0</v>
      </c>
      <c r="J23" s="170">
        <f t="array" ref="J23">sum(IF(($P$3:$P$100=I23), $T$3:$T$100, 0))</f>
        <v>0</v>
      </c>
      <c r="P23" s="404">
        <v>45998.0</v>
      </c>
      <c r="Q23" s="132" t="s">
        <v>134</v>
      </c>
      <c r="R23" s="132" t="s">
        <v>116</v>
      </c>
      <c r="S23" s="132" t="s">
        <v>120</v>
      </c>
      <c r="T23" s="132">
        <v>2500.0</v>
      </c>
      <c r="U23" s="109"/>
      <c r="V23" s="136"/>
    </row>
    <row r="24">
      <c r="B24" s="317"/>
      <c r="C24" s="108"/>
      <c r="D24" s="108"/>
      <c r="E24" s="108"/>
      <c r="F24" s="174"/>
      <c r="H24" s="318" t="str">
        <f t="shared" si="1"/>
        <v>Saturday</v>
      </c>
      <c r="I24" s="319">
        <v>45976.0</v>
      </c>
      <c r="J24" s="170">
        <f t="array" ref="J24">sum(IF(($P$3:$P$100=I24), $T$3:$T$100, 0))</f>
        <v>0</v>
      </c>
      <c r="L24" s="137" t="s">
        <v>84</v>
      </c>
      <c r="M24" s="86"/>
      <c r="N24" s="138">
        <f>sum(N26:N31)</f>
        <v>0</v>
      </c>
      <c r="P24" s="404">
        <v>45999.0</v>
      </c>
      <c r="Q24" s="132" t="s">
        <v>119</v>
      </c>
      <c r="R24" s="132" t="s">
        <v>142</v>
      </c>
      <c r="S24" s="132" t="s">
        <v>51</v>
      </c>
      <c r="T24" s="132">
        <f>20+15</f>
        <v>35</v>
      </c>
      <c r="U24" s="109"/>
      <c r="V24" s="136"/>
    </row>
    <row r="25">
      <c r="B25" s="317"/>
      <c r="C25" s="112"/>
      <c r="D25" s="112"/>
      <c r="E25" s="108"/>
      <c r="F25" s="174"/>
      <c r="H25" s="318" t="str">
        <f t="shared" si="1"/>
        <v>Sunday</v>
      </c>
      <c r="I25" s="319">
        <v>45977.0</v>
      </c>
      <c r="J25" s="170">
        <f t="array" ref="J25">sum(IF(($P$3:$P$100=I25), $T$3:$T$100, 0))</f>
        <v>0</v>
      </c>
      <c r="L25" s="139" t="s">
        <v>6</v>
      </c>
      <c r="M25" s="140" t="s">
        <v>85</v>
      </c>
      <c r="N25" s="141" t="s">
        <v>35</v>
      </c>
      <c r="P25" s="404">
        <v>45998.0</v>
      </c>
      <c r="Q25" s="132" t="s">
        <v>123</v>
      </c>
      <c r="R25" s="132" t="s">
        <v>144</v>
      </c>
      <c r="S25" s="132" t="s">
        <v>120</v>
      </c>
      <c r="T25" s="132">
        <v>250.0</v>
      </c>
      <c r="U25" s="109"/>
      <c r="V25" s="136"/>
    </row>
    <row r="26">
      <c r="B26" s="317"/>
      <c r="C26" s="112"/>
      <c r="D26" s="112"/>
      <c r="E26" s="108"/>
      <c r="F26" s="174"/>
      <c r="H26" s="318" t="str">
        <f t="shared" si="1"/>
        <v>Monday</v>
      </c>
      <c r="I26" s="319">
        <v>45978.0</v>
      </c>
      <c r="J26" s="170">
        <f t="array" ref="J26">sum(IF(($P$3:$P$100=I26), $T$3:$T$100, 0))</f>
        <v>0</v>
      </c>
      <c r="L26" s="152"/>
      <c r="M26" s="47"/>
      <c r="N26" s="48"/>
      <c r="P26" s="404">
        <v>46000.0</v>
      </c>
      <c r="Q26" s="132" t="s">
        <v>119</v>
      </c>
      <c r="R26" s="132" t="s">
        <v>142</v>
      </c>
      <c r="S26" s="132" t="s">
        <v>51</v>
      </c>
      <c r="T26" s="132">
        <v>20.0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Tuesday</v>
      </c>
      <c r="I27" s="319">
        <v>45979.0</v>
      </c>
      <c r="J27" s="170">
        <f t="array" ref="J27">sum(IF(($P$3:$P$100=I27), $T$3:$T$100, 0))</f>
        <v>0</v>
      </c>
      <c r="L27" s="152"/>
      <c r="M27" s="47"/>
      <c r="N27" s="48"/>
      <c r="P27" s="404">
        <v>46001.0</v>
      </c>
      <c r="Q27" s="132" t="s">
        <v>123</v>
      </c>
      <c r="R27" s="132" t="s">
        <v>144</v>
      </c>
      <c r="S27" s="132" t="s">
        <v>120</v>
      </c>
      <c r="T27" s="132">
        <v>560.0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Wednesday</v>
      </c>
      <c r="I28" s="319">
        <v>45980.0</v>
      </c>
      <c r="J28" s="170">
        <f t="array" ref="J28">sum(IF(($P$3:$P$100=I28), $T$3:$T$100, 0))</f>
        <v>0</v>
      </c>
      <c r="L28" s="152"/>
      <c r="M28" s="47"/>
      <c r="N28" s="48"/>
      <c r="P28" s="404">
        <v>46001.0</v>
      </c>
      <c r="Q28" s="132" t="s">
        <v>119</v>
      </c>
      <c r="R28" s="132" t="s">
        <v>142</v>
      </c>
      <c r="S28" s="132" t="s">
        <v>120</v>
      </c>
      <c r="T28" s="132">
        <v>90.0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Thursday</v>
      </c>
      <c r="I29" s="319">
        <v>45981.0</v>
      </c>
      <c r="J29" s="170">
        <f t="array" ref="J29">sum(IF(($P$3:$P$100=I29), $T$3:$T$100, 0))</f>
        <v>0</v>
      </c>
      <c r="L29" s="152"/>
      <c r="M29" s="47"/>
      <c r="N29" s="48"/>
      <c r="P29" s="404">
        <v>46001.0</v>
      </c>
      <c r="Q29" s="132" t="s">
        <v>131</v>
      </c>
      <c r="R29" s="132" t="s">
        <v>131</v>
      </c>
      <c r="S29" s="132" t="s">
        <v>51</v>
      </c>
      <c r="T29" s="132">
        <v>95.0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Friday</v>
      </c>
      <c r="I30" s="319">
        <v>45982.0</v>
      </c>
      <c r="J30" s="170">
        <f t="array" ref="J30">sum(IF(($P$3:$P$100=I30), $T$3:$T$100, 0))</f>
        <v>0</v>
      </c>
      <c r="L30" s="152"/>
      <c r="M30" s="47"/>
      <c r="N30" s="48"/>
      <c r="P30" s="404">
        <v>46001.0</v>
      </c>
      <c r="Q30" s="132" t="s">
        <v>123</v>
      </c>
      <c r="R30" s="132" t="s">
        <v>145</v>
      </c>
      <c r="S30" s="132" t="s">
        <v>51</v>
      </c>
      <c r="T30" s="132">
        <v>80.0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Saturday</v>
      </c>
      <c r="I31" s="319">
        <v>45983.0</v>
      </c>
      <c r="J31" s="170">
        <f t="array" ref="J31">sum(IF(($P$3:$P$100=I31), $T$3:$T$100, 0))</f>
        <v>0</v>
      </c>
      <c r="L31" s="153"/>
      <c r="M31" s="154"/>
      <c r="N31" s="68"/>
      <c r="P31" s="404">
        <v>46001.0</v>
      </c>
      <c r="Q31" s="132" t="s">
        <v>127</v>
      </c>
      <c r="R31" s="132" t="s">
        <v>147</v>
      </c>
      <c r="S31" s="132" t="s">
        <v>12</v>
      </c>
      <c r="T31" s="132">
        <f>208+50</f>
        <v>258</v>
      </c>
      <c r="U31" s="109"/>
      <c r="V31" s="136"/>
    </row>
    <row r="32">
      <c r="B32" s="317"/>
      <c r="C32" s="108"/>
      <c r="D32" s="108"/>
      <c r="E32" s="108"/>
      <c r="F32" s="174"/>
      <c r="H32" s="318" t="str">
        <f t="shared" si="1"/>
        <v>Sunday</v>
      </c>
      <c r="I32" s="319">
        <v>45984.0</v>
      </c>
      <c r="J32" s="170">
        <f t="array" ref="J32">sum(IF(($P$3:$P$100=I32), $T$3:$T$100, 0))</f>
        <v>0</v>
      </c>
      <c r="P32" s="404">
        <v>46001.0</v>
      </c>
      <c r="Q32" s="132" t="s">
        <v>127</v>
      </c>
      <c r="R32" s="132" t="s">
        <v>146</v>
      </c>
      <c r="S32" s="132" t="s">
        <v>12</v>
      </c>
      <c r="T32" s="132">
        <f>20+30</f>
        <v>50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Monday</v>
      </c>
      <c r="I33" s="319">
        <v>45985.0</v>
      </c>
      <c r="J33" s="170">
        <f t="array" ref="J33">sum(IF(($P$3:$P$100=I33), $T$3:$T$100, 0))</f>
        <v>0</v>
      </c>
      <c r="L33" s="137" t="s">
        <v>134</v>
      </c>
      <c r="M33" s="86"/>
      <c r="N33" s="138">
        <f>sum(N35:N40)</f>
        <v>0</v>
      </c>
      <c r="P33" s="404">
        <v>46000.0</v>
      </c>
      <c r="Q33" s="132" t="s">
        <v>123</v>
      </c>
      <c r="R33" s="132" t="s">
        <v>145</v>
      </c>
      <c r="S33" s="132" t="s">
        <v>51</v>
      </c>
      <c r="T33" s="132">
        <v>260.0</v>
      </c>
      <c r="U33" s="109"/>
      <c r="V33" s="136"/>
    </row>
    <row r="34">
      <c r="B34" s="317"/>
      <c r="C34" s="112"/>
      <c r="D34" s="112"/>
      <c r="E34" s="108"/>
      <c r="F34" s="174"/>
      <c r="H34" s="318" t="str">
        <f t="shared" si="1"/>
        <v>Tuesday</v>
      </c>
      <c r="I34" s="319">
        <v>45986.0</v>
      </c>
      <c r="J34" s="170">
        <f t="array" ref="J34">sum(IF(($P$3:$P$100=I34), $T$3:$T$100, 0))</f>
        <v>0</v>
      </c>
      <c r="L34" s="139" t="s">
        <v>39</v>
      </c>
      <c r="M34" s="140" t="s">
        <v>243</v>
      </c>
      <c r="N34" s="141" t="s">
        <v>244</v>
      </c>
      <c r="P34" s="404">
        <v>46002.0</v>
      </c>
      <c r="Q34" s="132" t="s">
        <v>131</v>
      </c>
      <c r="R34" s="132" t="s">
        <v>23</v>
      </c>
      <c r="S34" s="132" t="s">
        <v>51</v>
      </c>
      <c r="T34" s="132">
        <f>205+140</f>
        <v>345</v>
      </c>
      <c r="U34" s="109"/>
      <c r="V34" s="136"/>
    </row>
    <row r="35">
      <c r="B35" s="317"/>
      <c r="C35" s="112"/>
      <c r="D35" s="112"/>
      <c r="E35" s="108"/>
      <c r="F35" s="174"/>
      <c r="H35" s="318" t="str">
        <f t="shared" si="1"/>
        <v>Wednesday</v>
      </c>
      <c r="I35" s="319">
        <v>45987.0</v>
      </c>
      <c r="J35" s="170">
        <f t="array" ref="J35">sum(IF(($P$3:$P$100=I35), $T$3:$T$100, 0))</f>
        <v>7530</v>
      </c>
      <c r="L35" s="293"/>
      <c r="M35" s="316"/>
      <c r="N35" s="341"/>
      <c r="P35" s="404">
        <v>46002.0</v>
      </c>
      <c r="Q35" s="132" t="s">
        <v>131</v>
      </c>
      <c r="R35" s="132" t="s">
        <v>148</v>
      </c>
      <c r="S35" s="132" t="s">
        <v>51</v>
      </c>
      <c r="T35" s="132">
        <f>15+15</f>
        <v>30</v>
      </c>
      <c r="U35" s="109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/>
      <c r="M36" s="316"/>
      <c r="N36" s="341"/>
      <c r="P36" s="404">
        <v>46002.0</v>
      </c>
      <c r="Q36" s="132" t="s">
        <v>119</v>
      </c>
      <c r="R36" s="132" t="s">
        <v>142</v>
      </c>
      <c r="S36" s="132" t="s">
        <v>51</v>
      </c>
      <c r="T36" s="132">
        <v>30.0</v>
      </c>
      <c r="U36" s="109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/>
      <c r="M37" s="316"/>
      <c r="N37" s="341"/>
      <c r="P37" s="404">
        <v>46003.0</v>
      </c>
      <c r="Q37" s="132" t="s">
        <v>119</v>
      </c>
      <c r="R37" s="132" t="s">
        <v>142</v>
      </c>
      <c r="S37" s="132" t="s">
        <v>51</v>
      </c>
      <c r="T37" s="132">
        <v>20.0</v>
      </c>
      <c r="U37" s="109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/>
      <c r="M38" s="316"/>
      <c r="N38" s="345"/>
      <c r="P38" s="404">
        <v>46004.0</v>
      </c>
      <c r="Q38" s="132" t="s">
        <v>119</v>
      </c>
      <c r="R38" s="132" t="s">
        <v>138</v>
      </c>
      <c r="S38" s="132" t="s">
        <v>51</v>
      </c>
      <c r="T38" s="132">
        <f>200+40+85</f>
        <v>325</v>
      </c>
      <c r="U38" s="408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/>
      <c r="M39" s="289"/>
      <c r="N39" s="128"/>
      <c r="P39" s="404">
        <v>46004.0</v>
      </c>
      <c r="Q39" s="132" t="s">
        <v>119</v>
      </c>
      <c r="R39" s="132" t="s">
        <v>135</v>
      </c>
      <c r="S39" s="132" t="s">
        <v>51</v>
      </c>
      <c r="T39" s="132">
        <f>70</f>
        <v>70</v>
      </c>
      <c r="U39" s="109"/>
      <c r="V39" s="136"/>
    </row>
    <row r="40">
      <c r="P40" s="404">
        <v>46004.0</v>
      </c>
      <c r="Q40" s="132" t="s">
        <v>26</v>
      </c>
      <c r="R40" s="132" t="s">
        <v>26</v>
      </c>
      <c r="S40" s="132" t="s">
        <v>51</v>
      </c>
      <c r="T40" s="132">
        <v>20.0</v>
      </c>
      <c r="U40" s="408"/>
      <c r="V40" s="136"/>
    </row>
    <row r="41">
      <c r="P41" s="404">
        <v>46005.0</v>
      </c>
      <c r="Q41" s="132" t="s">
        <v>131</v>
      </c>
      <c r="R41" s="132" t="s">
        <v>131</v>
      </c>
      <c r="S41" s="132" t="s">
        <v>51</v>
      </c>
      <c r="T41" s="132">
        <f>3000+285+15</f>
        <v>3300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0"/>
      <c r="I42" s="410"/>
      <c r="J42" s="410"/>
      <c r="K42" s="411"/>
      <c r="L42" s="412"/>
      <c r="P42" s="404">
        <v>46006.0</v>
      </c>
      <c r="Q42" s="132" t="s">
        <v>119</v>
      </c>
      <c r="R42" s="132" t="s">
        <v>138</v>
      </c>
      <c r="S42" s="132" t="s">
        <v>51</v>
      </c>
      <c r="T42" s="132">
        <f>350+20</f>
        <v>370</v>
      </c>
      <c r="U42" s="113"/>
      <c r="V42" s="136"/>
    </row>
    <row r="43">
      <c r="B43" s="413"/>
      <c r="C43" s="414"/>
      <c r="D43" s="414"/>
      <c r="E43" s="414"/>
      <c r="F43" s="414"/>
      <c r="G43" s="414"/>
      <c r="H43" s="414"/>
      <c r="I43" s="414"/>
      <c r="J43" s="414"/>
      <c r="K43" s="415"/>
      <c r="L43" s="51"/>
      <c r="P43" s="404">
        <v>46007.0</v>
      </c>
      <c r="Q43" s="132" t="s">
        <v>119</v>
      </c>
      <c r="R43" s="132" t="s">
        <v>135</v>
      </c>
      <c r="S43" s="132" t="s">
        <v>51</v>
      </c>
      <c r="T43" s="132">
        <f>750+200+60+5</f>
        <v>1015</v>
      </c>
      <c r="U43" s="109"/>
      <c r="V43" s="136"/>
    </row>
    <row r="44">
      <c r="B44" s="416" t="s">
        <v>107</v>
      </c>
      <c r="C44" s="417"/>
      <c r="D44" s="418"/>
      <c r="E44" s="419" t="s">
        <v>43</v>
      </c>
      <c r="F44" s="420" t="s">
        <v>108</v>
      </c>
      <c r="G44" s="417"/>
      <c r="H44" s="418"/>
      <c r="I44" s="419" t="s">
        <v>43</v>
      </c>
      <c r="J44" s="421" t="s">
        <v>4</v>
      </c>
      <c r="K44" s="418"/>
      <c r="L44" s="422" t="s">
        <v>206</v>
      </c>
      <c r="P44" s="404">
        <v>46007.0</v>
      </c>
      <c r="Q44" s="132" t="s">
        <v>119</v>
      </c>
      <c r="R44" s="132" t="s">
        <v>142</v>
      </c>
      <c r="S44" s="132" t="s">
        <v>51</v>
      </c>
      <c r="T44" s="132">
        <f>20+10</f>
        <v>30</v>
      </c>
      <c r="U44" s="109"/>
      <c r="V44" s="136"/>
    </row>
    <row r="45">
      <c r="B45" s="423" t="s">
        <v>114</v>
      </c>
      <c r="C45" s="424"/>
      <c r="D45" s="425"/>
      <c r="E45" s="426">
        <f>Sum(I45:I50)</f>
        <v>16070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15969</v>
      </c>
      <c r="M45" s="298">
        <f>I45+I48+I50</f>
        <v>14880</v>
      </c>
      <c r="P45" s="404">
        <v>46008.0</v>
      </c>
      <c r="Q45" s="132" t="s">
        <v>119</v>
      </c>
      <c r="R45" s="132" t="s">
        <v>142</v>
      </c>
      <c r="S45" s="132" t="s">
        <v>51</v>
      </c>
      <c r="T45" s="132">
        <v>25.0</v>
      </c>
      <c r="U45" s="113"/>
      <c r="V45" s="136"/>
    </row>
    <row r="46">
      <c r="B46" s="432"/>
      <c r="D46" s="433"/>
      <c r="E46" s="434"/>
      <c r="F46" s="435" t="s">
        <v>118</v>
      </c>
      <c r="H46" s="433"/>
      <c r="I46" s="436">
        <v>0.0</v>
      </c>
      <c r="J46" s="437">
        <f t="array" ref="J46">sum(IF(($R$3:$R$100=F46), $T$3:$T$100, 0))</f>
        <v>0</v>
      </c>
      <c r="K46" s="418"/>
      <c r="L46" s="434"/>
      <c r="P46" s="404">
        <v>46009.0</v>
      </c>
      <c r="Q46" s="132" t="s">
        <v>119</v>
      </c>
      <c r="R46" s="132" t="s">
        <v>142</v>
      </c>
      <c r="S46" s="132" t="s">
        <v>51</v>
      </c>
      <c r="T46" s="132">
        <v>40.0</v>
      </c>
      <c r="U46" s="113"/>
      <c r="V46" s="136"/>
    </row>
    <row r="47">
      <c r="B47" s="438"/>
      <c r="D47" s="439"/>
      <c r="E47" s="37"/>
      <c r="F47" s="440" t="s">
        <v>122</v>
      </c>
      <c r="H47" s="439"/>
      <c r="I47" s="441">
        <v>350.0</v>
      </c>
      <c r="J47" s="429">
        <f t="array" ref="J47">sum(IF(($R$3:$R$100=F47), $T$3:$T$100, 0))</f>
        <v>249</v>
      </c>
      <c r="K47" s="430"/>
      <c r="L47" s="37"/>
      <c r="P47" s="404">
        <v>46009.0</v>
      </c>
      <c r="Q47" s="132" t="s">
        <v>131</v>
      </c>
      <c r="R47" s="132" t="s">
        <v>148</v>
      </c>
      <c r="S47" s="132" t="s">
        <v>51</v>
      </c>
      <c r="T47" s="132">
        <v>15.0</v>
      </c>
      <c r="U47" s="113"/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P48" s="404">
        <v>46010.0</v>
      </c>
      <c r="Q48" s="132" t="s">
        <v>114</v>
      </c>
      <c r="R48" s="132" t="s">
        <v>130</v>
      </c>
      <c r="S48" s="132" t="s">
        <v>12</v>
      </c>
      <c r="T48" s="132">
        <v>840.0</v>
      </c>
      <c r="U48" s="109"/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P49" s="404">
        <v>46011.0</v>
      </c>
      <c r="Q49" s="132" t="s">
        <v>131</v>
      </c>
      <c r="R49" s="132" t="s">
        <v>23</v>
      </c>
      <c r="S49" s="132" t="s">
        <v>51</v>
      </c>
      <c r="T49" s="132">
        <f>230+180</f>
        <v>410</v>
      </c>
      <c r="U49" s="113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P50" s="404">
        <v>46011.0</v>
      </c>
      <c r="Q50" s="132" t="s">
        <v>131</v>
      </c>
      <c r="R50" s="132" t="s">
        <v>148</v>
      </c>
      <c r="S50" s="132" t="s">
        <v>51</v>
      </c>
      <c r="T50" s="132">
        <f>15+10</f>
        <v>25</v>
      </c>
      <c r="U50" s="113"/>
      <c r="V50" s="136"/>
    </row>
    <row r="51">
      <c r="B51" s="447" t="s">
        <v>119</v>
      </c>
      <c r="C51" s="424"/>
      <c r="D51" s="425"/>
      <c r="E51" s="431">
        <f>Sum(I51:I54)</f>
        <v>8500</v>
      </c>
      <c r="F51" s="448" t="s">
        <v>135</v>
      </c>
      <c r="G51" s="424"/>
      <c r="H51" s="425"/>
      <c r="I51" s="449">
        <v>1000.0</v>
      </c>
      <c r="J51" s="450">
        <f t="array" ref="J51">sum(IF(($R$3:$R$100=F51), $T$3:$T$100, 0))</f>
        <v>2050</v>
      </c>
      <c r="K51" s="430"/>
      <c r="L51" s="431">
        <f>sum(J51:J54)</f>
        <v>10755</v>
      </c>
      <c r="P51" s="404">
        <v>46011.0</v>
      </c>
      <c r="Q51" s="132" t="s">
        <v>123</v>
      </c>
      <c r="R51" s="132" t="s">
        <v>145</v>
      </c>
      <c r="S51" s="132" t="s">
        <v>51</v>
      </c>
      <c r="T51" s="132">
        <f>800+100+3750</f>
        <v>4650</v>
      </c>
      <c r="U51" s="113"/>
      <c r="V51" s="136"/>
    </row>
    <row r="52">
      <c r="B52" s="432"/>
      <c r="D52" s="433"/>
      <c r="E52" s="434"/>
      <c r="F52" s="451" t="s">
        <v>138</v>
      </c>
      <c r="H52" s="433"/>
      <c r="I52" s="452">
        <v>1000.0</v>
      </c>
      <c r="J52" s="453">
        <f t="array" ref="J52">sum(IF(($R$3:$R$100=F52), $T$3:$T$100, 0))</f>
        <v>1795</v>
      </c>
      <c r="K52" s="418"/>
      <c r="L52" s="434"/>
      <c r="P52" s="404">
        <v>46012.0</v>
      </c>
      <c r="Q52" s="132" t="s">
        <v>123</v>
      </c>
      <c r="R52" s="132" t="s">
        <v>145</v>
      </c>
      <c r="S52" s="132" t="s">
        <v>51</v>
      </c>
      <c r="T52" s="132">
        <f>400+1150+35</f>
        <v>1585</v>
      </c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5000.0</v>
      </c>
      <c r="J53" s="450">
        <f t="array" ref="J53">sum(IF(($R$3:$R$100=F53), $T$3:$T$100, 0))</f>
        <v>5120</v>
      </c>
      <c r="K53" s="430"/>
      <c r="L53" s="37"/>
      <c r="P53" s="404">
        <v>46012.0</v>
      </c>
      <c r="Q53" s="132" t="s">
        <v>119</v>
      </c>
      <c r="R53" s="132" t="s">
        <v>142</v>
      </c>
      <c r="S53" s="132" t="s">
        <v>51</v>
      </c>
      <c r="T53" s="132">
        <v>20.0</v>
      </c>
      <c r="U53" s="113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1500.0</v>
      </c>
      <c r="J54" s="453">
        <f t="array" ref="J54">sum(IF(($R$3:$R$100=F54), $T$3:$T$100, 0))</f>
        <v>1790</v>
      </c>
      <c r="K54" s="418"/>
      <c r="L54" s="445"/>
      <c r="P54" s="404">
        <v>46012.0</v>
      </c>
      <c r="Q54" s="132" t="s">
        <v>26</v>
      </c>
      <c r="R54" s="132" t="s">
        <v>26</v>
      </c>
      <c r="S54" s="132" t="s">
        <v>51</v>
      </c>
      <c r="T54" s="132">
        <v>100.0</v>
      </c>
      <c r="U54" s="113"/>
      <c r="V54" s="136"/>
    </row>
    <row r="55">
      <c r="B55" s="447" t="s">
        <v>123</v>
      </c>
      <c r="C55" s="424"/>
      <c r="D55" s="425"/>
      <c r="E55" s="431">
        <f>sum(I55:I57)</f>
        <v>7000</v>
      </c>
      <c r="F55" s="448" t="s">
        <v>123</v>
      </c>
      <c r="G55" s="424"/>
      <c r="H55" s="425"/>
      <c r="I55" s="456">
        <v>1200.0</v>
      </c>
      <c r="J55" s="450">
        <f t="array" ref="J55">sum(IF(($R$3:$R$100=F55), $T$3:$T$100, 0))</f>
        <v>1200</v>
      </c>
      <c r="K55" s="430"/>
      <c r="L55" s="431">
        <f>sum(J55:J58)</f>
        <v>14015</v>
      </c>
      <c r="P55" s="404">
        <v>46011.0</v>
      </c>
      <c r="Q55" s="132" t="s">
        <v>131</v>
      </c>
      <c r="R55" s="132" t="s">
        <v>131</v>
      </c>
      <c r="S55" s="132" t="s">
        <v>51</v>
      </c>
      <c r="T55" s="132">
        <v>200.0</v>
      </c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300.0</v>
      </c>
      <c r="J56" s="453">
        <f t="array" ref="J56">sum(IF(($R$3:$R$100=F56), $T$3:$T$100, 0))</f>
        <v>1060</v>
      </c>
      <c r="K56" s="418"/>
      <c r="L56" s="434"/>
      <c r="P56" s="404">
        <v>46013.0</v>
      </c>
      <c r="Q56" s="132" t="s">
        <v>119</v>
      </c>
      <c r="R56" s="132" t="s">
        <v>142</v>
      </c>
      <c r="S56" s="132" t="s">
        <v>51</v>
      </c>
      <c r="T56" s="132">
        <v>20.0</v>
      </c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5500.0</v>
      </c>
      <c r="J57" s="450">
        <f t="array" ref="J57">sum(IF(($R$3:$R$100=F57), $T$3:$T$100, 0))</f>
        <v>11575</v>
      </c>
      <c r="K57" s="430"/>
      <c r="L57" s="51"/>
      <c r="P57" s="404">
        <v>46014.0</v>
      </c>
      <c r="Q57" s="132" t="s">
        <v>123</v>
      </c>
      <c r="R57" s="132" t="s">
        <v>144</v>
      </c>
      <c r="S57" s="132" t="s">
        <v>51</v>
      </c>
      <c r="T57" s="132">
        <v>250.0</v>
      </c>
      <c r="U57" s="113"/>
      <c r="V57" s="136"/>
    </row>
    <row r="58">
      <c r="B58" s="458" t="s">
        <v>127</v>
      </c>
      <c r="C58" s="459"/>
      <c r="D58" s="460"/>
      <c r="E58" s="461">
        <f>I58+I59</f>
        <v>400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180</v>
      </c>
      <c r="K58" s="418"/>
      <c r="L58" s="464">
        <f>J58+J59</f>
        <v>438</v>
      </c>
      <c r="P58" s="404">
        <v>46014.0</v>
      </c>
      <c r="Q58" s="132" t="s">
        <v>119</v>
      </c>
      <c r="R58" s="132" t="s">
        <v>142</v>
      </c>
      <c r="S58" s="132" t="s">
        <v>51</v>
      </c>
      <c r="T58" s="132">
        <v>80.0</v>
      </c>
      <c r="U58" s="113"/>
      <c r="V58" s="136"/>
    </row>
    <row r="59">
      <c r="B59" s="413"/>
      <c r="C59" s="414"/>
      <c r="D59" s="415"/>
      <c r="E59" s="51"/>
      <c r="F59" s="457" t="s">
        <v>147</v>
      </c>
      <c r="G59" s="414"/>
      <c r="H59" s="415"/>
      <c r="I59" s="441">
        <v>300.0</v>
      </c>
      <c r="J59" s="450">
        <f t="array" ref="J59">sum(IF(($R$3:$R$100=F59), $T$3:$T$100, 0))</f>
        <v>258</v>
      </c>
      <c r="K59" s="430"/>
      <c r="L59" s="51"/>
      <c r="P59" s="404">
        <v>46015.0</v>
      </c>
      <c r="Q59" s="132" t="s">
        <v>119</v>
      </c>
      <c r="R59" s="132" t="s">
        <v>138</v>
      </c>
      <c r="S59" s="132" t="s">
        <v>51</v>
      </c>
      <c r="T59" s="132">
        <v>100.0</v>
      </c>
      <c r="U59" s="113"/>
      <c r="V59" s="136"/>
    </row>
    <row r="60">
      <c r="B60" s="458" t="s">
        <v>131</v>
      </c>
      <c r="C60" s="459"/>
      <c r="D60" s="460"/>
      <c r="E60" s="464">
        <f>I60+I61+I62</f>
        <v>4200</v>
      </c>
      <c r="F60" s="462" t="s">
        <v>148</v>
      </c>
      <c r="G60" s="459"/>
      <c r="H60" s="460"/>
      <c r="I60" s="452">
        <v>200.0</v>
      </c>
      <c r="J60" s="453">
        <f t="array" ref="J60">sum(IF(($R$3:$R$100=F60), $T$3:$T$100, 0))</f>
        <v>165</v>
      </c>
      <c r="K60" s="418"/>
      <c r="L60" s="464">
        <f>J60+J61+J62</f>
        <v>1120</v>
      </c>
      <c r="P60" s="404">
        <v>46015.0</v>
      </c>
      <c r="Q60" s="132" t="s">
        <v>119</v>
      </c>
      <c r="R60" s="132" t="s">
        <v>142</v>
      </c>
      <c r="S60" s="132" t="s">
        <v>51</v>
      </c>
      <c r="T60" s="132">
        <v>20.0</v>
      </c>
      <c r="U60" s="113"/>
      <c r="V60" s="136"/>
    </row>
    <row r="61">
      <c r="B61" s="438"/>
      <c r="D61" s="439"/>
      <c r="E61" s="37"/>
      <c r="F61" s="454" t="s">
        <v>23</v>
      </c>
      <c r="H61" s="439"/>
      <c r="I61" s="449">
        <v>500.0</v>
      </c>
      <c r="J61" s="450">
        <f t="array" ref="J61">sum(IF(($R$3:$R$100=F61), $T$3:$T$100, 0))</f>
        <v>955</v>
      </c>
      <c r="K61" s="430"/>
      <c r="L61" s="37"/>
      <c r="P61" s="404">
        <v>46015.0</v>
      </c>
      <c r="Q61" s="132" t="s">
        <v>131</v>
      </c>
      <c r="R61" s="132" t="s">
        <v>148</v>
      </c>
      <c r="S61" s="132" t="s">
        <v>51</v>
      </c>
      <c r="T61" s="132">
        <v>25.0</v>
      </c>
      <c r="U61" s="113"/>
      <c r="V61" s="136"/>
    </row>
    <row r="62">
      <c r="B62" s="442"/>
      <c r="C62" s="443"/>
      <c r="D62" s="444"/>
      <c r="E62" s="445"/>
      <c r="F62" s="455" t="s">
        <v>149</v>
      </c>
      <c r="G62" s="443"/>
      <c r="H62" s="444"/>
      <c r="I62" s="436">
        <v>3500.0</v>
      </c>
      <c r="J62" s="453">
        <f t="array" ref="J62">sum(IF(($R$3:$R$100=F62), $T$3:$T$100, 0))</f>
        <v>0</v>
      </c>
      <c r="K62" s="418"/>
      <c r="L62" s="445"/>
      <c r="P62" s="404">
        <v>46015.0</v>
      </c>
      <c r="Q62" s="132" t="s">
        <v>114</v>
      </c>
      <c r="R62" s="132" t="s">
        <v>122</v>
      </c>
      <c r="S62" s="132" t="s">
        <v>12</v>
      </c>
      <c r="T62" s="132">
        <v>249.0</v>
      </c>
      <c r="U62" s="113"/>
      <c r="V62" s="136"/>
    </row>
    <row r="63">
      <c r="B63" s="38" t="s">
        <v>134</v>
      </c>
      <c r="D63" s="439"/>
      <c r="E63" s="465"/>
      <c r="F63" s="454" t="s">
        <v>150</v>
      </c>
      <c r="H63" s="439"/>
      <c r="I63" s="441">
        <v>2500.0</v>
      </c>
      <c r="J63" s="450">
        <f t="array" ref="J63">sum(IF(($R$3:$R$100=F63), $T$3:$T$100, 0))</f>
        <v>0</v>
      </c>
      <c r="K63" s="430"/>
      <c r="L63" s="466"/>
      <c r="P63" s="404">
        <v>46015.0</v>
      </c>
      <c r="Q63" s="132" t="s">
        <v>127</v>
      </c>
      <c r="R63" s="132" t="s">
        <v>146</v>
      </c>
      <c r="S63" s="132" t="s">
        <v>12</v>
      </c>
      <c r="T63" s="132">
        <f>30+50</f>
        <v>80</v>
      </c>
      <c r="U63" s="109"/>
      <c r="V63" s="136"/>
    </row>
    <row r="64">
      <c r="B64" s="432"/>
      <c r="D64" s="433"/>
      <c r="E64" s="434"/>
      <c r="F64" s="451" t="s">
        <v>131</v>
      </c>
      <c r="H64" s="433"/>
      <c r="I64" s="461"/>
      <c r="J64" s="467">
        <f t="array" ref="J64">sum(IF(($R$3:$R$100=F64), $T$3:$T$100, 0))</f>
        <v>6225</v>
      </c>
      <c r="K64" s="460"/>
      <c r="L64" s="445"/>
      <c r="P64" s="404">
        <v>46017.0</v>
      </c>
      <c r="Q64" s="132" t="s">
        <v>26</v>
      </c>
      <c r="R64" s="132" t="s">
        <v>26</v>
      </c>
      <c r="S64" s="132" t="s">
        <v>51</v>
      </c>
      <c r="T64" s="132">
        <v>10.0</v>
      </c>
      <c r="U64" s="113"/>
      <c r="V64" s="136"/>
    </row>
    <row r="65">
      <c r="B65" s="447" t="s">
        <v>26</v>
      </c>
      <c r="C65" s="424"/>
      <c r="D65" s="424"/>
      <c r="E65" s="431"/>
      <c r="F65" s="448" t="s">
        <v>116</v>
      </c>
      <c r="G65" s="424"/>
      <c r="H65" s="425"/>
      <c r="I65" s="449">
        <v>1300.0</v>
      </c>
      <c r="J65" s="468">
        <f t="array" ref="J65">sum(IF(($R$3:$R$100=F65), $T$3:$T$100, 0))</f>
        <v>2500</v>
      </c>
      <c r="K65" s="425"/>
      <c r="L65" s="466"/>
      <c r="P65" s="404">
        <v>46017.0</v>
      </c>
      <c r="Q65" s="132" t="s">
        <v>119</v>
      </c>
      <c r="R65" s="132" t="s">
        <v>142</v>
      </c>
      <c r="S65" s="132" t="s">
        <v>51</v>
      </c>
      <c r="T65" s="132">
        <v>100.0</v>
      </c>
      <c r="U65" s="113"/>
      <c r="V65" s="136"/>
    </row>
    <row r="66">
      <c r="B66" s="442"/>
      <c r="C66" s="443"/>
      <c r="D66" s="443"/>
      <c r="E66" s="445"/>
      <c r="F66" s="469" t="s">
        <v>121</v>
      </c>
      <c r="G66" s="443"/>
      <c r="H66" s="444"/>
      <c r="I66" s="422">
        <v>0.0</v>
      </c>
      <c r="J66" s="470">
        <f t="array" ref="J66">sum(IF(($R$3:$R$100=F66), $T$3:$T$100, 0))</f>
        <v>0</v>
      </c>
      <c r="K66" s="460"/>
      <c r="L66" s="445"/>
      <c r="P66" s="404">
        <v>46018.0</v>
      </c>
      <c r="Q66" s="132" t="s">
        <v>131</v>
      </c>
      <c r="R66" s="132" t="s">
        <v>131</v>
      </c>
      <c r="S66" s="132" t="s">
        <v>51</v>
      </c>
      <c r="T66" s="132">
        <v>100.0</v>
      </c>
      <c r="U66" s="113"/>
      <c r="V66" s="136"/>
    </row>
    <row r="67">
      <c r="B67" s="447" t="s">
        <v>139</v>
      </c>
      <c r="C67" s="424"/>
      <c r="D67" s="424"/>
      <c r="E67" s="431"/>
      <c r="F67" s="448" t="s">
        <v>125</v>
      </c>
      <c r="G67" s="424"/>
      <c r="H67" s="425"/>
      <c r="I67" s="441">
        <v>0.0</v>
      </c>
      <c r="J67" s="468">
        <f t="array" ref="J67">sum(IF(($R$3:$R$100=F67), $T$3:$T$100, 0))</f>
        <v>0</v>
      </c>
      <c r="K67" s="425"/>
      <c r="L67" s="466"/>
      <c r="P67" s="404">
        <v>46017.0</v>
      </c>
      <c r="Q67" s="132" t="s">
        <v>131</v>
      </c>
      <c r="R67" s="132" t="s">
        <v>131</v>
      </c>
      <c r="S67" s="132" t="s">
        <v>51</v>
      </c>
      <c r="T67" s="132">
        <v>50.0</v>
      </c>
      <c r="U67" s="113"/>
      <c r="V67" s="136"/>
    </row>
    <row r="68">
      <c r="B68" s="442"/>
      <c r="C68" s="443"/>
      <c r="D68" s="443"/>
      <c r="E68" s="445"/>
      <c r="F68" s="469" t="s">
        <v>129</v>
      </c>
      <c r="G68" s="443"/>
      <c r="H68" s="444"/>
      <c r="I68" s="471">
        <v>0.0</v>
      </c>
      <c r="J68" s="472">
        <f t="array" ref="J68">sum(IF(($R$3:$R$100=F68), $T$3:$T$100, 0))</f>
        <v>0</v>
      </c>
      <c r="K68" s="418"/>
      <c r="L68" s="445"/>
      <c r="P68" s="404"/>
      <c r="Q68" s="132"/>
      <c r="R68" s="132"/>
      <c r="S68" s="132"/>
      <c r="T68" s="102"/>
      <c r="U68" s="113"/>
      <c r="V68" s="136"/>
    </row>
    <row r="69">
      <c r="F69" s="298" t="s">
        <v>132</v>
      </c>
      <c r="P69" s="404"/>
      <c r="Q69" s="132"/>
      <c r="R69" s="132"/>
      <c r="S69" s="132"/>
      <c r="T69" s="132"/>
      <c r="U69" s="113"/>
      <c r="V69" s="136"/>
    </row>
    <row r="70">
      <c r="F70" s="298" t="s">
        <v>26</v>
      </c>
      <c r="H70" s="473" t="s">
        <v>96</v>
      </c>
      <c r="I70" s="474">
        <f t="shared" ref="I70:J70" si="2">SUM(I45:I68)</f>
        <v>39970</v>
      </c>
      <c r="J70" s="474">
        <f t="shared" si="2"/>
        <v>50842</v>
      </c>
      <c r="L70" s="475">
        <f t="shared" ref="L70:L72" si="4">I70-J70</f>
        <v>-10872</v>
      </c>
      <c r="P70" s="404"/>
      <c r="Q70" s="132"/>
      <c r="R70" s="132"/>
      <c r="S70" s="132"/>
      <c r="T70" s="132"/>
      <c r="U70" s="113"/>
      <c r="V70" s="136"/>
    </row>
    <row r="71">
      <c r="F71" s="298" t="s">
        <v>151</v>
      </c>
      <c r="H71" s="10" t="s">
        <v>190</v>
      </c>
      <c r="I71" s="136">
        <f t="shared" ref="I71:J71" si="3">I46+I47+I49+I58+I59+I63+I67+I68+I62</f>
        <v>7590</v>
      </c>
      <c r="J71" s="136">
        <f t="shared" si="3"/>
        <v>1527</v>
      </c>
      <c r="L71" s="298">
        <f t="shared" si="4"/>
        <v>6063</v>
      </c>
      <c r="P71" s="404"/>
      <c r="Q71" s="132"/>
      <c r="R71" s="132"/>
      <c r="S71" s="132"/>
      <c r="T71" s="132"/>
      <c r="U71" s="113"/>
      <c r="V71" s="136"/>
    </row>
    <row r="72">
      <c r="F72" s="298" t="s">
        <v>152</v>
      </c>
      <c r="H72" s="10" t="s">
        <v>51</v>
      </c>
      <c r="I72" s="136">
        <f t="shared" ref="I72:J72" si="5">I70-I71</f>
        <v>32380</v>
      </c>
      <c r="J72" s="136">
        <f t="shared" si="5"/>
        <v>49315</v>
      </c>
      <c r="L72" s="298">
        <f t="shared" si="4"/>
        <v>-16935</v>
      </c>
      <c r="P72" s="404"/>
      <c r="Q72" s="132"/>
      <c r="R72" s="132"/>
      <c r="S72" s="132"/>
      <c r="T72" s="132"/>
      <c r="U72" s="113"/>
      <c r="V72" s="136"/>
    </row>
    <row r="73">
      <c r="F73" s="298" t="s">
        <v>153</v>
      </c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P75" s="404"/>
      <c r="Q75" s="132"/>
      <c r="R75" s="132"/>
      <c r="S75" s="132"/>
      <c r="T75" s="132"/>
      <c r="U75" s="113"/>
      <c r="V75" s="136"/>
    </row>
    <row r="76">
      <c r="P76" s="404"/>
      <c r="Q76" s="132"/>
      <c r="R76" s="132"/>
      <c r="S76" s="132"/>
      <c r="T76" s="132"/>
      <c r="U76" s="113"/>
      <c r="V76" s="136"/>
    </row>
    <row r="77"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E81" s="111"/>
      <c r="F81" s="111"/>
      <c r="P81" s="404"/>
      <c r="Q81" s="102"/>
      <c r="R81" s="102"/>
      <c r="S81" s="102"/>
      <c r="T81" s="102"/>
      <c r="U81" s="113"/>
      <c r="V81" s="136"/>
    </row>
    <row r="82">
      <c r="E82" s="111"/>
      <c r="P82" s="404"/>
      <c r="Q82" s="102"/>
      <c r="R82" s="102"/>
      <c r="S82" s="102"/>
      <c r="T82" s="102"/>
      <c r="U82" s="113"/>
      <c r="V82" s="136"/>
    </row>
    <row r="83">
      <c r="E83" s="111"/>
      <c r="P83" s="404"/>
      <c r="Q83" s="102"/>
      <c r="R83" s="102"/>
      <c r="S83" s="102"/>
      <c r="T83" s="102"/>
      <c r="U83" s="113"/>
      <c r="V83" s="136"/>
    </row>
    <row r="84">
      <c r="E84" s="111"/>
      <c r="P84" s="112"/>
      <c r="Q84" s="102"/>
      <c r="R84" s="102"/>
      <c r="S84" s="102"/>
      <c r="T84" s="102"/>
      <c r="U84" s="113"/>
      <c r="V84" s="136"/>
    </row>
    <row r="85">
      <c r="P85" s="112"/>
      <c r="Q85" s="102"/>
      <c r="R85" s="102"/>
      <c r="S85" s="102"/>
      <c r="T85" s="102"/>
      <c r="U85" s="113"/>
      <c r="V85" s="136"/>
    </row>
    <row r="86">
      <c r="P86" s="112"/>
      <c r="Q86" s="102"/>
      <c r="R86" s="102"/>
      <c r="S86" s="102"/>
      <c r="T86" s="102"/>
      <c r="U86" s="113"/>
      <c r="V86" s="136"/>
    </row>
    <row r="87">
      <c r="P87" s="112"/>
      <c r="Q87" s="102"/>
      <c r="R87" s="102"/>
      <c r="S87" s="102"/>
      <c r="T87" s="102"/>
      <c r="U87" s="113"/>
      <c r="V87" s="136"/>
    </row>
    <row r="88">
      <c r="P88" s="112"/>
      <c r="Q88" s="102"/>
      <c r="R88" s="102"/>
      <c r="S88" s="102"/>
      <c r="T88" s="102"/>
      <c r="U88" s="113"/>
      <c r="V88" s="136"/>
    </row>
    <row r="89">
      <c r="P89" s="112"/>
      <c r="Q89" s="102"/>
      <c r="R89" s="102"/>
      <c r="S89" s="102"/>
      <c r="T89" s="102"/>
      <c r="U89" s="113"/>
      <c r="V89" s="136"/>
    </row>
    <row r="90">
      <c r="P90" s="112"/>
      <c r="Q90" s="102"/>
      <c r="R90" s="102"/>
      <c r="S90" s="102"/>
      <c r="T90" s="102"/>
      <c r="U90" s="113"/>
      <c r="V90" s="136"/>
    </row>
    <row r="91">
      <c r="P91" s="112"/>
      <c r="Q91" s="102"/>
      <c r="R91" s="102"/>
      <c r="S91" s="102"/>
      <c r="T91" s="102"/>
      <c r="U91" s="113"/>
      <c r="V91" s="136"/>
    </row>
    <row r="92">
      <c r="P92" s="112"/>
      <c r="Q92" s="102"/>
      <c r="R92" s="102"/>
      <c r="S92" s="102"/>
      <c r="T92" s="102"/>
      <c r="U92" s="113"/>
      <c r="V92" s="136"/>
    </row>
    <row r="93">
      <c r="P93" s="112"/>
      <c r="Q93" s="102"/>
      <c r="R93" s="102"/>
      <c r="S93" s="102"/>
      <c r="T93" s="102"/>
      <c r="U93" s="113"/>
      <c r="V93" s="136"/>
    </row>
    <row r="94">
      <c r="P94" s="112"/>
      <c r="Q94" s="102"/>
      <c r="R94" s="102"/>
      <c r="S94" s="102"/>
      <c r="T94" s="102"/>
      <c r="U94" s="113"/>
      <c r="V94" s="136"/>
    </row>
    <row r="95">
      <c r="P95" s="112"/>
      <c r="Q95" s="102"/>
      <c r="R95" s="102"/>
      <c r="S95" s="102"/>
      <c r="T95" s="102"/>
      <c r="U95" s="113"/>
      <c r="V95" s="136"/>
    </row>
    <row r="96">
      <c r="P96" s="112"/>
      <c r="Q96" s="102"/>
      <c r="R96" s="102"/>
      <c r="S96" s="102"/>
      <c r="T96" s="102"/>
      <c r="U96" s="113"/>
      <c r="V96" s="136"/>
    </row>
    <row r="97">
      <c r="P97" s="112"/>
      <c r="Q97" s="102"/>
      <c r="R97" s="102"/>
      <c r="S97" s="102"/>
      <c r="T97" s="102"/>
      <c r="U97" s="113"/>
      <c r="V97" s="136"/>
    </row>
    <row r="98">
      <c r="P98" s="112"/>
      <c r="Q98" s="102"/>
      <c r="R98" s="102"/>
      <c r="S98" s="102"/>
      <c r="T98" s="102"/>
      <c r="U98" s="113"/>
      <c r="V98" s="136"/>
    </row>
    <row r="99">
      <c r="P99" s="112"/>
      <c r="Q99" s="102"/>
      <c r="R99" s="102"/>
      <c r="S99" s="102"/>
      <c r="T99" s="102"/>
      <c r="U99" s="113"/>
      <c r="V99" s="136"/>
    </row>
    <row r="100">
      <c r="P100" s="112"/>
      <c r="Q100" s="102"/>
      <c r="R100" s="102"/>
      <c r="S100" s="102"/>
      <c r="T100" s="102"/>
      <c r="U100" s="11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89">
    <mergeCell ref="J47:K47"/>
    <mergeCell ref="F48:H48"/>
    <mergeCell ref="J48:K48"/>
    <mergeCell ref="B42:K43"/>
    <mergeCell ref="L42:L43"/>
    <mergeCell ref="B44:D44"/>
    <mergeCell ref="B45:D50"/>
    <mergeCell ref="E45:E50"/>
    <mergeCell ref="L45:L50"/>
    <mergeCell ref="J46:K46"/>
    <mergeCell ref="F54:H54"/>
    <mergeCell ref="J54:K54"/>
    <mergeCell ref="F50:H50"/>
    <mergeCell ref="J50:K50"/>
    <mergeCell ref="F51:H51"/>
    <mergeCell ref="J51:K51"/>
    <mergeCell ref="L51:L54"/>
    <mergeCell ref="F52:H52"/>
    <mergeCell ref="F53:H53"/>
    <mergeCell ref="J56:K56"/>
    <mergeCell ref="J57:K57"/>
    <mergeCell ref="J52:K52"/>
    <mergeCell ref="J53:K53"/>
    <mergeCell ref="F55:H55"/>
    <mergeCell ref="J55:K55"/>
    <mergeCell ref="L55:L57"/>
    <mergeCell ref="F56:H56"/>
    <mergeCell ref="F57:H57"/>
    <mergeCell ref="F59:H59"/>
    <mergeCell ref="F62:H62"/>
    <mergeCell ref="F58:H58"/>
    <mergeCell ref="J58:K58"/>
    <mergeCell ref="L58:L59"/>
    <mergeCell ref="J59:K59"/>
    <mergeCell ref="J60:K60"/>
    <mergeCell ref="L60:L62"/>
    <mergeCell ref="J61:K61"/>
    <mergeCell ref="J62:K62"/>
    <mergeCell ref="J64:K64"/>
    <mergeCell ref="J65:K65"/>
    <mergeCell ref="F60:H60"/>
    <mergeCell ref="F61:H61"/>
    <mergeCell ref="F63:H63"/>
    <mergeCell ref="J63:K63"/>
    <mergeCell ref="L63:L64"/>
    <mergeCell ref="F64:H64"/>
    <mergeCell ref="F65:H65"/>
    <mergeCell ref="B65:D66"/>
    <mergeCell ref="B67:D68"/>
    <mergeCell ref="E67:E68"/>
    <mergeCell ref="F67:H67"/>
    <mergeCell ref="F68:H68"/>
    <mergeCell ref="J70:K70"/>
    <mergeCell ref="J71:K71"/>
    <mergeCell ref="J72:K72"/>
    <mergeCell ref="J73:K73"/>
    <mergeCell ref="J74:K74"/>
    <mergeCell ref="B60:D62"/>
    <mergeCell ref="B63:D64"/>
    <mergeCell ref="E63:E64"/>
    <mergeCell ref="E65:E66"/>
    <mergeCell ref="L65:L66"/>
    <mergeCell ref="F66:H66"/>
    <mergeCell ref="L67:L68"/>
    <mergeCell ref="J68:K68"/>
    <mergeCell ref="B2:F2"/>
    <mergeCell ref="H2:H3"/>
    <mergeCell ref="I2:I3"/>
    <mergeCell ref="L2:M2"/>
    <mergeCell ref="L15:M15"/>
    <mergeCell ref="L24:M24"/>
    <mergeCell ref="L33:M33"/>
    <mergeCell ref="J44:K44"/>
    <mergeCell ref="J45:K45"/>
    <mergeCell ref="F45:H45"/>
    <mergeCell ref="F46:H46"/>
    <mergeCell ref="F44:H44"/>
    <mergeCell ref="F47:H47"/>
    <mergeCell ref="F49:H49"/>
    <mergeCell ref="J49:K49"/>
    <mergeCell ref="B51:D54"/>
    <mergeCell ref="E51:E54"/>
    <mergeCell ref="B55:D57"/>
    <mergeCell ref="E55:E57"/>
    <mergeCell ref="B58:D59"/>
    <mergeCell ref="E58:E59"/>
    <mergeCell ref="E60:E62"/>
    <mergeCell ref="J66:K66"/>
    <mergeCell ref="J67:K67"/>
  </mergeCells>
  <conditionalFormatting sqref="J45:K68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14.38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59471</v>
      </c>
      <c r="L2" s="84" t="s">
        <v>34</v>
      </c>
      <c r="M2" s="86"/>
      <c r="N2" s="400">
        <f>M4+M5+M8+M9+M12</f>
        <v>2309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46019.0</v>
      </c>
      <c r="Q3" s="132" t="s">
        <v>123</v>
      </c>
      <c r="R3" s="132" t="s">
        <v>145</v>
      </c>
      <c r="S3" s="132" t="s">
        <v>51</v>
      </c>
      <c r="T3" s="132">
        <v>780.0</v>
      </c>
      <c r="U3" s="109"/>
      <c r="V3" s="136"/>
    </row>
    <row r="4">
      <c r="B4" s="317">
        <v>46019.0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Friday</v>
      </c>
      <c r="I4" s="319">
        <v>46017.0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670</v>
      </c>
      <c r="N4" s="322">
        <f>'Dec 25'!M4</f>
        <v>3000</v>
      </c>
      <c r="P4" s="404">
        <v>46019.0</v>
      </c>
      <c r="Q4" s="132" t="s">
        <v>119</v>
      </c>
      <c r="R4" s="132" t="s">
        <v>138</v>
      </c>
      <c r="S4" s="132" t="s">
        <v>51</v>
      </c>
      <c r="T4" s="132">
        <v>225.0</v>
      </c>
      <c r="U4" s="109"/>
      <c r="V4" s="136"/>
    </row>
    <row r="5">
      <c r="B5" s="317">
        <v>46020.0</v>
      </c>
      <c r="C5" s="108"/>
      <c r="D5" s="142">
        <v>2500.0</v>
      </c>
      <c r="E5" s="108" t="s">
        <v>120</v>
      </c>
      <c r="F5" s="174" t="s">
        <v>136</v>
      </c>
      <c r="H5" s="318" t="str">
        <f t="shared" si="1"/>
        <v>Saturday</v>
      </c>
      <c r="I5" s="319">
        <v>46018.0</v>
      </c>
      <c r="J5" s="170">
        <f t="array" ref="J5">sum(IF(($P$3:$P$100=I5), $T$3:$T$100, 0))</f>
        <v>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377</v>
      </c>
      <c r="N5" s="326">
        <f>'Dec 25'!M5</f>
        <v>1432</v>
      </c>
      <c r="P5" s="404">
        <v>46019.0</v>
      </c>
      <c r="Q5" s="132" t="s">
        <v>131</v>
      </c>
      <c r="R5" s="132" t="s">
        <v>131</v>
      </c>
      <c r="S5" s="132" t="s">
        <v>51</v>
      </c>
      <c r="T5" s="132">
        <f>50+50+150+150+20</f>
        <v>420</v>
      </c>
      <c r="U5" s="109" t="s">
        <v>249</v>
      </c>
      <c r="V5" s="136"/>
    </row>
    <row r="6">
      <c r="B6" s="317">
        <v>46020.0</v>
      </c>
      <c r="C6" s="108"/>
      <c r="D6" s="142">
        <v>20000.0</v>
      </c>
      <c r="E6" s="108" t="s">
        <v>120</v>
      </c>
      <c r="F6" s="174" t="s">
        <v>136</v>
      </c>
      <c r="H6" s="318" t="str">
        <f t="shared" si="1"/>
        <v>Sunday</v>
      </c>
      <c r="I6" s="319">
        <v>46019.0</v>
      </c>
      <c r="J6" s="170">
        <f t="array" ref="J6">sum(IF(($P$3:$P$100=I6), $T$3:$T$100, 0))</f>
        <v>2127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1711</v>
      </c>
      <c r="N6" s="326">
        <f>'Dec 25'!M6</f>
        <v>2136</v>
      </c>
      <c r="P6" s="404">
        <v>46019.0</v>
      </c>
      <c r="Q6" s="132" t="s">
        <v>119</v>
      </c>
      <c r="R6" s="132" t="s">
        <v>142</v>
      </c>
      <c r="S6" s="132" t="s">
        <v>51</v>
      </c>
      <c r="T6" s="132">
        <v>100.0</v>
      </c>
      <c r="U6" s="109"/>
      <c r="V6" s="136"/>
    </row>
    <row r="7">
      <c r="B7" s="317">
        <v>46020.0</v>
      </c>
      <c r="C7" s="142"/>
      <c r="D7" s="142">
        <v>20000.0</v>
      </c>
      <c r="E7" s="108" t="s">
        <v>136</v>
      </c>
      <c r="F7" s="174" t="s">
        <v>51</v>
      </c>
      <c r="H7" s="318" t="str">
        <f t="shared" si="1"/>
        <v>Monday</v>
      </c>
      <c r="I7" s="319">
        <v>46020.0</v>
      </c>
      <c r="J7" s="170">
        <f t="array" ref="J7">sum(IF(($P$3:$P$100=I7), $T$3:$T$100, 0))</f>
        <v>22515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'Dec 25'!M7</f>
        <v>285</v>
      </c>
      <c r="P7" s="404">
        <v>46019.0</v>
      </c>
      <c r="Q7" s="132" t="s">
        <v>139</v>
      </c>
      <c r="R7" s="132" t="s">
        <v>153</v>
      </c>
      <c r="S7" s="132" t="s">
        <v>124</v>
      </c>
      <c r="T7" s="132">
        <f>8+50+15+100+60+400-31</f>
        <v>602</v>
      </c>
      <c r="U7" s="109"/>
      <c r="V7" s="136"/>
    </row>
    <row r="8">
      <c r="B8" s="317">
        <v>46020.0</v>
      </c>
      <c r="C8" s="108"/>
      <c r="D8" s="142">
        <v>10000.0</v>
      </c>
      <c r="E8" s="108" t="s">
        <v>120</v>
      </c>
      <c r="F8" s="174" t="s">
        <v>124</v>
      </c>
      <c r="H8" s="318" t="str">
        <f t="shared" si="1"/>
        <v>Tuesday</v>
      </c>
      <c r="I8" s="319">
        <v>46021.0</v>
      </c>
      <c r="J8" s="170">
        <f t="array" ref="J8">sum(IF(($P$3:$P$100=I8), $T$3:$T$100, 0))</f>
        <v>115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136</v>
      </c>
      <c r="N8" s="326">
        <f>'Dec 25'!M8</f>
        <v>150</v>
      </c>
      <c r="P8" s="404">
        <v>46020.0</v>
      </c>
      <c r="Q8" s="132" t="s">
        <v>119</v>
      </c>
      <c r="R8" s="132" t="s">
        <v>142</v>
      </c>
      <c r="S8" s="132" t="s">
        <v>51</v>
      </c>
      <c r="T8" s="132">
        <v>40.0</v>
      </c>
      <c r="U8" s="109"/>
      <c r="V8" s="136"/>
    </row>
    <row r="9">
      <c r="B9" s="317">
        <v>46022.0</v>
      </c>
      <c r="C9" s="108"/>
      <c r="D9" s="108">
        <v>2000.0</v>
      </c>
      <c r="E9" s="108" t="s">
        <v>120</v>
      </c>
      <c r="F9" s="174" t="s">
        <v>136</v>
      </c>
      <c r="H9" s="318" t="str">
        <f t="shared" si="1"/>
        <v>Wednesday</v>
      </c>
      <c r="I9" s="319">
        <v>46022.0</v>
      </c>
      <c r="J9" s="170">
        <f t="array" ref="J9">sum(IF(($P$3:$P$100=I9), $T$3:$T$100, 0))</f>
        <v>309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'Dec 25'!M9</f>
        <v>2</v>
      </c>
      <c r="P9" s="404">
        <v>46020.0</v>
      </c>
      <c r="Q9" s="132" t="s">
        <v>114</v>
      </c>
      <c r="R9" s="132" t="s">
        <v>115</v>
      </c>
      <c r="S9" s="132" t="s">
        <v>51</v>
      </c>
      <c r="T9" s="132">
        <v>13000.0</v>
      </c>
      <c r="U9" s="109"/>
      <c r="V9" s="136"/>
    </row>
    <row r="10">
      <c r="B10" s="317">
        <v>46022.0</v>
      </c>
      <c r="C10" s="142"/>
      <c r="D10" s="142">
        <v>1000.0</v>
      </c>
      <c r="E10" s="108" t="s">
        <v>136</v>
      </c>
      <c r="F10" s="174" t="s">
        <v>12</v>
      </c>
      <c r="H10" s="318" t="str">
        <f t="shared" si="1"/>
        <v>Thursday</v>
      </c>
      <c r="I10" s="319">
        <v>46023.0</v>
      </c>
      <c r="J10" s="170">
        <f t="array" ref="J10">sum(IF(($P$3:$P$100=I10), $T$3:$T$100, 0))</f>
        <v>4810</v>
      </c>
      <c r="L10" s="333" t="s">
        <v>137</v>
      </c>
      <c r="M10" s="374">
        <f>N10-50000</f>
        <v>40000</v>
      </c>
      <c r="N10" s="326">
        <f>'Dec 25'!M10</f>
        <v>90000</v>
      </c>
      <c r="P10" s="404">
        <v>46020.0</v>
      </c>
      <c r="Q10" s="132" t="s">
        <v>114</v>
      </c>
      <c r="R10" s="132" t="s">
        <v>126</v>
      </c>
      <c r="S10" s="132" t="s">
        <v>51</v>
      </c>
      <c r="T10" s="132">
        <v>1080.0</v>
      </c>
      <c r="U10" s="109"/>
      <c r="V10" s="136"/>
    </row>
    <row r="11">
      <c r="B11" s="317">
        <v>46023.0</v>
      </c>
      <c r="C11" s="108"/>
      <c r="D11" s="142">
        <v>5000.0</v>
      </c>
      <c r="E11" s="108" t="s">
        <v>120</v>
      </c>
      <c r="F11" s="174" t="s">
        <v>136</v>
      </c>
      <c r="H11" s="318" t="str">
        <f t="shared" si="1"/>
        <v>Friday</v>
      </c>
      <c r="I11" s="319">
        <v>46024.0</v>
      </c>
      <c r="J11" s="170">
        <f t="array" ref="J11">sum(IF(($P$3:$P$100=I11), $T$3:$T$100, 0))</f>
        <v>7280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7550</v>
      </c>
      <c r="N11" s="326">
        <f>'Dec 25'!M11</f>
        <v>7550</v>
      </c>
      <c r="P11" s="404">
        <v>46020.0</v>
      </c>
      <c r="Q11" s="132" t="s">
        <v>114</v>
      </c>
      <c r="R11" s="132" t="s">
        <v>133</v>
      </c>
      <c r="S11" s="132" t="s">
        <v>51</v>
      </c>
      <c r="T11" s="132">
        <v>800.0</v>
      </c>
      <c r="U11" s="109"/>
      <c r="V11" s="136"/>
    </row>
    <row r="12">
      <c r="B12" s="317">
        <v>46023.0</v>
      </c>
      <c r="C12" s="108"/>
      <c r="D12" s="142">
        <v>5000.0</v>
      </c>
      <c r="E12" s="108" t="s">
        <v>136</v>
      </c>
      <c r="F12" s="174" t="s">
        <v>51</v>
      </c>
      <c r="H12" s="318" t="str">
        <f t="shared" si="1"/>
        <v>Saturday</v>
      </c>
      <c r="I12" s="319">
        <v>46025.0</v>
      </c>
      <c r="J12" s="170">
        <f t="array" ref="J12">sum(IF(($P$3:$P$100=I12), $T$3:$T$100, 0))</f>
        <v>1535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1124</v>
      </c>
      <c r="N12" s="326">
        <f>'Dec 25'!M12</f>
        <v>109</v>
      </c>
      <c r="P12" s="404">
        <v>46020.0</v>
      </c>
      <c r="Q12" s="132" t="s">
        <v>119</v>
      </c>
      <c r="R12" s="132" t="s">
        <v>141</v>
      </c>
      <c r="S12" s="132" t="s">
        <v>51</v>
      </c>
      <c r="T12" s="132">
        <f>5000+120</f>
        <v>5120</v>
      </c>
      <c r="U12" s="109"/>
      <c r="V12" s="136"/>
    </row>
    <row r="13">
      <c r="B13" s="317">
        <v>46024.0</v>
      </c>
      <c r="C13" s="108"/>
      <c r="D13" s="142">
        <v>5000.0</v>
      </c>
      <c r="E13" s="108" t="s">
        <v>143</v>
      </c>
      <c r="F13" s="174" t="s">
        <v>51</v>
      </c>
      <c r="H13" s="318" t="str">
        <f t="shared" si="1"/>
        <v>Sunday</v>
      </c>
      <c r="I13" s="319">
        <v>46026.0</v>
      </c>
      <c r="J13" s="170">
        <f t="array" ref="J13">sum(IF(($P$3:$P$100=I13), $T$3:$T$100, 0))</f>
        <v>45</v>
      </c>
      <c r="L13" s="338"/>
      <c r="M13" s="339"/>
      <c r="N13" s="480" t="str">
        <f>'Nov 25'!M13</f>
        <v/>
      </c>
      <c r="P13" s="404">
        <v>46020.0</v>
      </c>
      <c r="Q13" s="132" t="s">
        <v>131</v>
      </c>
      <c r="R13" s="132" t="s">
        <v>149</v>
      </c>
      <c r="S13" s="132" t="s">
        <v>136</v>
      </c>
      <c r="T13" s="132">
        <v>2475.0</v>
      </c>
      <c r="U13" s="109"/>
      <c r="V13" s="136"/>
    </row>
    <row r="14">
      <c r="B14" s="317">
        <v>46025.0</v>
      </c>
      <c r="C14" s="108"/>
      <c r="D14" s="142">
        <v>5000.0</v>
      </c>
      <c r="E14" s="108" t="s">
        <v>120</v>
      </c>
      <c r="F14" s="174" t="s">
        <v>136</v>
      </c>
      <c r="H14" s="318" t="str">
        <f t="shared" si="1"/>
        <v>Monday</v>
      </c>
      <c r="I14" s="319">
        <v>46027.0</v>
      </c>
      <c r="J14" s="170">
        <f t="array" ref="J14">sum(IF(($P$3:$P$100=I14), $T$3:$T$100, 0))</f>
        <v>2090</v>
      </c>
      <c r="P14" s="404">
        <v>46021.0</v>
      </c>
      <c r="Q14" s="132" t="s">
        <v>119</v>
      </c>
      <c r="R14" s="132" t="s">
        <v>142</v>
      </c>
      <c r="S14" s="132" t="s">
        <v>51</v>
      </c>
      <c r="T14" s="132">
        <f>50</f>
        <v>50</v>
      </c>
      <c r="U14" s="109"/>
      <c r="V14" s="136"/>
    </row>
    <row r="15">
      <c r="B15" s="317">
        <v>46025.0</v>
      </c>
      <c r="C15" s="108"/>
      <c r="D15" s="108">
        <v>5000.0</v>
      </c>
      <c r="E15" s="108" t="s">
        <v>136</v>
      </c>
      <c r="F15" s="174" t="s">
        <v>51</v>
      </c>
      <c r="H15" s="318" t="str">
        <f t="shared" si="1"/>
        <v>Tuesday</v>
      </c>
      <c r="I15" s="319">
        <v>46028.0</v>
      </c>
      <c r="J15" s="170">
        <f t="array" ref="J15">sum(IF(($P$3:$P$100=I15), $T$3:$T$100, 0))</f>
        <v>5755</v>
      </c>
      <c r="L15" s="137" t="s">
        <v>72</v>
      </c>
      <c r="M15" s="86"/>
      <c r="N15" s="138">
        <f>sum(N17:N22)</f>
        <v>0</v>
      </c>
      <c r="P15" s="404">
        <v>46021.0</v>
      </c>
      <c r="Q15" s="132" t="s">
        <v>131</v>
      </c>
      <c r="R15" s="132" t="s">
        <v>131</v>
      </c>
      <c r="S15" s="132" t="s">
        <v>51</v>
      </c>
      <c r="T15" s="132">
        <v>50.0</v>
      </c>
      <c r="U15" s="109"/>
      <c r="V15" s="136"/>
    </row>
    <row r="16">
      <c r="B16" s="317">
        <v>46028.0</v>
      </c>
      <c r="C16" s="142">
        <v>15.0</v>
      </c>
      <c r="D16" s="142">
        <v>5000.0</v>
      </c>
      <c r="E16" s="108" t="s">
        <v>120</v>
      </c>
      <c r="F16" s="174" t="s">
        <v>51</v>
      </c>
      <c r="H16" s="318" t="str">
        <f t="shared" si="1"/>
        <v>Wednesday</v>
      </c>
      <c r="I16" s="319">
        <v>46029.0</v>
      </c>
      <c r="J16" s="170">
        <f t="array" ref="J16">sum(IF(($P$3:$P$100=I16), $T$3:$T$100, 0))</f>
        <v>410</v>
      </c>
      <c r="L16" s="139" t="s">
        <v>6</v>
      </c>
      <c r="M16" s="140" t="s">
        <v>74</v>
      </c>
      <c r="N16" s="141" t="s">
        <v>35</v>
      </c>
      <c r="P16" s="404">
        <v>46021.0</v>
      </c>
      <c r="Q16" s="132" t="s">
        <v>131</v>
      </c>
      <c r="R16" s="132" t="s">
        <v>148</v>
      </c>
      <c r="S16" s="132" t="s">
        <v>51</v>
      </c>
      <c r="T16" s="132">
        <v>15.0</v>
      </c>
      <c r="U16" s="109"/>
      <c r="V16" s="136"/>
    </row>
    <row r="17">
      <c r="B17" s="317">
        <v>46033.0</v>
      </c>
      <c r="C17" s="108">
        <v>10.0</v>
      </c>
      <c r="D17" s="108">
        <v>10000.0</v>
      </c>
      <c r="E17" s="108" t="s">
        <v>124</v>
      </c>
      <c r="F17" s="174" t="s">
        <v>136</v>
      </c>
      <c r="H17" s="318" t="str">
        <f t="shared" si="1"/>
        <v>Thursday</v>
      </c>
      <c r="I17" s="319">
        <v>46030.0</v>
      </c>
      <c r="J17" s="170">
        <f t="array" ref="J17">sum(IF(($P$3:$P$100=I17), $T$3:$T$100, 0))</f>
        <v>145</v>
      </c>
      <c r="L17" s="143">
        <v>45774.0</v>
      </c>
      <c r="M17" s="132">
        <v>2500.0</v>
      </c>
      <c r="N17" s="103" t="s">
        <v>185</v>
      </c>
      <c r="P17" s="404">
        <v>46022.0</v>
      </c>
      <c r="Q17" s="132" t="s">
        <v>127</v>
      </c>
      <c r="R17" s="132" t="s">
        <v>147</v>
      </c>
      <c r="S17" s="132" t="s">
        <v>12</v>
      </c>
      <c r="T17" s="132">
        <f>50+259</f>
        <v>309</v>
      </c>
      <c r="U17" s="109"/>
      <c r="V17" s="136"/>
    </row>
    <row r="18">
      <c r="B18" s="317">
        <v>46033.0</v>
      </c>
      <c r="C18" s="108"/>
      <c r="D18" s="108">
        <v>5000.0</v>
      </c>
      <c r="E18" s="108" t="s">
        <v>136</v>
      </c>
      <c r="F18" s="174" t="s">
        <v>51</v>
      </c>
      <c r="H18" s="318" t="str">
        <f t="shared" si="1"/>
        <v>Friday</v>
      </c>
      <c r="I18" s="319">
        <v>46031.0</v>
      </c>
      <c r="J18" s="170">
        <f t="array" ref="J18">sum(IF(($P$3:$P$100=I18), $T$3:$T$100, 0))</f>
        <v>0</v>
      </c>
      <c r="L18" s="143"/>
      <c r="M18" s="132">
        <v>3000.0</v>
      </c>
      <c r="N18" s="103" t="s">
        <v>187</v>
      </c>
      <c r="P18" s="404">
        <v>46023.0</v>
      </c>
      <c r="Q18" s="132" t="s">
        <v>131</v>
      </c>
      <c r="R18" s="132" t="s">
        <v>131</v>
      </c>
      <c r="S18" s="132" t="s">
        <v>12</v>
      </c>
      <c r="T18" s="132">
        <v>840.0</v>
      </c>
      <c r="U18" s="109" t="s">
        <v>250</v>
      </c>
      <c r="V18" s="136"/>
    </row>
    <row r="19">
      <c r="B19" s="317">
        <v>46022.0</v>
      </c>
      <c r="C19" s="112"/>
      <c r="D19" s="108">
        <f>220-33</f>
        <v>187</v>
      </c>
      <c r="E19" s="108" t="s">
        <v>139</v>
      </c>
      <c r="F19" s="174" t="s">
        <v>124</v>
      </c>
      <c r="H19" s="318" t="str">
        <f t="shared" si="1"/>
        <v>Saturday</v>
      </c>
      <c r="I19" s="319">
        <v>46032.0</v>
      </c>
      <c r="J19" s="170">
        <f t="array" ref="J19">sum(IF(($P$3:$P$100=I19), $T$3:$T$100, 0))</f>
        <v>0</v>
      </c>
      <c r="L19" s="148">
        <v>45979.0</v>
      </c>
      <c r="M19" s="132">
        <v>2050.0</v>
      </c>
      <c r="N19" s="103" t="s">
        <v>239</v>
      </c>
      <c r="P19" s="404">
        <v>46023.0</v>
      </c>
      <c r="Q19" s="132" t="s">
        <v>131</v>
      </c>
      <c r="R19" s="132" t="s">
        <v>131</v>
      </c>
      <c r="S19" s="132" t="s">
        <v>51</v>
      </c>
      <c r="T19" s="132">
        <v>3900.0</v>
      </c>
      <c r="U19" s="109" t="s">
        <v>251</v>
      </c>
      <c r="V19" s="136"/>
    </row>
    <row r="20">
      <c r="B20" s="317">
        <v>46038.0</v>
      </c>
      <c r="C20" s="142"/>
      <c r="D20" s="142">
        <v>1000.0</v>
      </c>
      <c r="E20" s="108" t="s">
        <v>136</v>
      </c>
      <c r="F20" s="174" t="s">
        <v>12</v>
      </c>
      <c r="H20" s="318" t="str">
        <f t="shared" si="1"/>
        <v>Sunday</v>
      </c>
      <c r="I20" s="319">
        <v>46033.0</v>
      </c>
      <c r="J20" s="170">
        <f t="array" ref="J20">sum(IF(($P$3:$P$100=I20), $T$3:$T$100, 0))</f>
        <v>1080</v>
      </c>
      <c r="L20" s="148"/>
      <c r="M20" s="132"/>
      <c r="N20" s="185"/>
      <c r="P20" s="404">
        <v>46023.0</v>
      </c>
      <c r="Q20" s="132" t="s">
        <v>131</v>
      </c>
      <c r="R20" s="132" t="s">
        <v>23</v>
      </c>
      <c r="S20" s="132" t="s">
        <v>51</v>
      </c>
      <c r="T20" s="132">
        <v>30.0</v>
      </c>
      <c r="U20" s="109"/>
      <c r="V20" s="136"/>
    </row>
    <row r="21">
      <c r="B21" s="317">
        <v>46041.0</v>
      </c>
      <c r="C21" s="108"/>
      <c r="D21" s="108">
        <v>500.0</v>
      </c>
      <c r="E21" s="108" t="s">
        <v>136</v>
      </c>
      <c r="F21" s="174" t="s">
        <v>12</v>
      </c>
      <c r="H21" s="318" t="str">
        <f t="shared" si="1"/>
        <v>Monday</v>
      </c>
      <c r="I21" s="319">
        <v>46034.0</v>
      </c>
      <c r="J21" s="170">
        <f t="array" ref="J21">sum(IF(($P$3:$P$100=I21), $T$3:$T$100, 0))</f>
        <v>480</v>
      </c>
      <c r="L21" s="112"/>
      <c r="M21" s="102"/>
      <c r="N21" s="48"/>
      <c r="P21" s="404">
        <v>46023.0</v>
      </c>
      <c r="Q21" s="132" t="s">
        <v>119</v>
      </c>
      <c r="R21" s="132" t="s">
        <v>142</v>
      </c>
      <c r="S21" s="132" t="s">
        <v>51</v>
      </c>
      <c r="T21" s="132">
        <v>40.0</v>
      </c>
      <c r="U21" s="109"/>
      <c r="V21" s="136"/>
    </row>
    <row r="22">
      <c r="B22" s="317">
        <v>46041.0</v>
      </c>
      <c r="C22" s="112"/>
      <c r="D22" s="108">
        <v>2000.0</v>
      </c>
      <c r="E22" s="108" t="s">
        <v>143</v>
      </c>
      <c r="F22" s="174" t="s">
        <v>120</v>
      </c>
      <c r="H22" s="318" t="str">
        <f t="shared" si="1"/>
        <v>Tuesday</v>
      </c>
      <c r="I22" s="319">
        <v>46035.0</v>
      </c>
      <c r="J22" s="170">
        <f t="array" ref="J22">sum(IF(($P$3:$P$100=I22), $T$3:$T$100, 0))</f>
        <v>90</v>
      </c>
      <c r="L22" s="127"/>
      <c r="M22" s="133"/>
      <c r="N22" s="68"/>
      <c r="P22" s="404">
        <v>46024.0</v>
      </c>
      <c r="Q22" s="132" t="s">
        <v>131</v>
      </c>
      <c r="R22" s="132" t="s">
        <v>23</v>
      </c>
      <c r="S22" s="132" t="s">
        <v>51</v>
      </c>
      <c r="T22" s="132">
        <v>50.0</v>
      </c>
      <c r="U22" s="109"/>
      <c r="V22" s="136"/>
    </row>
    <row r="23">
      <c r="B23" s="317">
        <v>46044.0</v>
      </c>
      <c r="C23" s="108"/>
      <c r="D23" s="108">
        <v>1500.0</v>
      </c>
      <c r="E23" s="108" t="s">
        <v>120</v>
      </c>
      <c r="F23" s="174" t="s">
        <v>136</v>
      </c>
      <c r="H23" s="318" t="str">
        <f t="shared" si="1"/>
        <v>Wednesday</v>
      </c>
      <c r="I23" s="319">
        <v>46036.0</v>
      </c>
      <c r="J23" s="170">
        <f t="array" ref="J23">sum(IF(($P$3:$P$100=I23), $T$3:$T$100, 0))</f>
        <v>390</v>
      </c>
      <c r="P23" s="404">
        <v>46024.0</v>
      </c>
      <c r="Q23" s="132" t="s">
        <v>131</v>
      </c>
      <c r="R23" s="132" t="s">
        <v>131</v>
      </c>
      <c r="S23" s="132" t="s">
        <v>51</v>
      </c>
      <c r="T23" s="132">
        <f>2500+3400+1000+200</f>
        <v>7100</v>
      </c>
      <c r="U23" s="109" t="s">
        <v>252</v>
      </c>
      <c r="V23" s="136"/>
    </row>
    <row r="24">
      <c r="B24" s="317">
        <v>46044.0</v>
      </c>
      <c r="C24" s="108"/>
      <c r="D24" s="108">
        <v>2000.0</v>
      </c>
      <c r="E24" s="108" t="s">
        <v>136</v>
      </c>
      <c r="F24" s="174" t="s">
        <v>51</v>
      </c>
      <c r="H24" s="318" t="str">
        <f t="shared" si="1"/>
        <v>Thursday</v>
      </c>
      <c r="I24" s="319">
        <v>46037.0</v>
      </c>
      <c r="J24" s="170">
        <f t="array" ref="J24">sum(IF(($P$3:$P$100=I24), $T$3:$T$100, 0))</f>
        <v>2660</v>
      </c>
      <c r="L24" s="137" t="s">
        <v>84</v>
      </c>
      <c r="M24" s="86"/>
      <c r="N24" s="138">
        <f>sum(N26:N31)</f>
        <v>0</v>
      </c>
      <c r="P24" s="404">
        <v>46024.0</v>
      </c>
      <c r="Q24" s="132" t="s">
        <v>123</v>
      </c>
      <c r="R24" s="132" t="s">
        <v>144</v>
      </c>
      <c r="S24" s="132" t="s">
        <v>51</v>
      </c>
      <c r="T24" s="132">
        <v>130.0</v>
      </c>
      <c r="U24" s="109"/>
      <c r="V24" s="136"/>
    </row>
    <row r="25">
      <c r="B25" s="317"/>
      <c r="C25" s="112"/>
      <c r="D25" s="112"/>
      <c r="E25" s="108"/>
      <c r="F25" s="174"/>
      <c r="H25" s="318" t="str">
        <f t="shared" si="1"/>
        <v>Friday</v>
      </c>
      <c r="I25" s="319">
        <v>46038.0</v>
      </c>
      <c r="J25" s="170">
        <f t="array" ref="J25">sum(IF(($P$3:$P$100=I25), $T$3:$T$100, 0))</f>
        <v>970</v>
      </c>
      <c r="L25" s="139" t="s">
        <v>6</v>
      </c>
      <c r="M25" s="140" t="s">
        <v>85</v>
      </c>
      <c r="N25" s="141" t="s">
        <v>35</v>
      </c>
      <c r="P25" s="404">
        <v>46025.0</v>
      </c>
      <c r="Q25" s="132" t="s">
        <v>119</v>
      </c>
      <c r="R25" s="132" t="s">
        <v>142</v>
      </c>
      <c r="S25" s="132" t="s">
        <v>51</v>
      </c>
      <c r="T25" s="132">
        <f>910</f>
        <v>910</v>
      </c>
      <c r="U25" s="109" t="s">
        <v>253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Saturday</v>
      </c>
      <c r="I26" s="319">
        <v>46039.0</v>
      </c>
      <c r="J26" s="170">
        <f t="array" ref="J26">sum(IF(($P$3:$P$100=I26), $T$3:$T$100, 0))</f>
        <v>0</v>
      </c>
      <c r="L26" s="152"/>
      <c r="M26" s="47"/>
      <c r="N26" s="48"/>
      <c r="P26" s="404">
        <v>46025.0</v>
      </c>
      <c r="Q26" s="132" t="s">
        <v>119</v>
      </c>
      <c r="R26" s="132" t="s">
        <v>135</v>
      </c>
      <c r="S26" s="132" t="s">
        <v>51</v>
      </c>
      <c r="T26" s="132">
        <v>80.0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Sunday</v>
      </c>
      <c r="I27" s="319">
        <v>46040.0</v>
      </c>
      <c r="J27" s="170">
        <f t="array" ref="J27">sum(IF(($P$3:$P$100=I27), $T$3:$T$100, 0))</f>
        <v>530</v>
      </c>
      <c r="L27" s="152"/>
      <c r="M27" s="47"/>
      <c r="N27" s="48"/>
      <c r="P27" s="404">
        <v>46025.0</v>
      </c>
      <c r="Q27" s="132" t="s">
        <v>123</v>
      </c>
      <c r="R27" s="132" t="s">
        <v>145</v>
      </c>
      <c r="S27" s="132" t="s">
        <v>51</v>
      </c>
      <c r="T27" s="132">
        <f>275+270</f>
        <v>545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Monday</v>
      </c>
      <c r="I28" s="319">
        <v>46041.0</v>
      </c>
      <c r="J28" s="170">
        <f t="array" ref="J28">sum(IF(($P$3:$P$100=I28), $T$3:$T$100, 0))</f>
        <v>1985</v>
      </c>
      <c r="L28" s="152"/>
      <c r="M28" s="47"/>
      <c r="N28" s="48"/>
      <c r="P28" s="404">
        <v>46026.0</v>
      </c>
      <c r="Q28" s="132" t="s">
        <v>131</v>
      </c>
      <c r="R28" s="132" t="s">
        <v>148</v>
      </c>
      <c r="S28" s="132" t="s">
        <v>51</v>
      </c>
      <c r="T28" s="132">
        <v>15.0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Tuesday</v>
      </c>
      <c r="I29" s="319">
        <v>46042.0</v>
      </c>
      <c r="J29" s="170">
        <f t="array" ref="J29">sum(IF(($P$3:$P$100=I29), $T$3:$T$100, 0))</f>
        <v>2020</v>
      </c>
      <c r="L29" s="152"/>
      <c r="M29" s="47"/>
      <c r="N29" s="48"/>
      <c r="P29" s="404">
        <v>46026.0</v>
      </c>
      <c r="Q29" s="132" t="s">
        <v>119</v>
      </c>
      <c r="R29" s="132" t="s">
        <v>142</v>
      </c>
      <c r="S29" s="132" t="s">
        <v>51</v>
      </c>
      <c r="T29" s="132">
        <v>30.0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Wednesday</v>
      </c>
      <c r="I30" s="319">
        <v>46043.0</v>
      </c>
      <c r="J30" s="170">
        <f t="array" ref="J30">sum(IF(($P$3:$P$100=I30), $T$3:$T$100, 0))</f>
        <v>565</v>
      </c>
      <c r="L30" s="152"/>
      <c r="M30" s="47"/>
      <c r="N30" s="48"/>
      <c r="P30" s="404">
        <v>46027.0</v>
      </c>
      <c r="Q30" s="132" t="s">
        <v>131</v>
      </c>
      <c r="R30" s="132" t="s">
        <v>23</v>
      </c>
      <c r="S30" s="132" t="s">
        <v>51</v>
      </c>
      <c r="T30" s="132">
        <f>560+810</f>
        <v>1370</v>
      </c>
      <c r="U30" s="109" t="s">
        <v>254</v>
      </c>
      <c r="V30" s="136"/>
    </row>
    <row r="31">
      <c r="B31" s="317"/>
      <c r="C31" s="108"/>
      <c r="D31" s="108"/>
      <c r="E31" s="108"/>
      <c r="F31" s="174"/>
      <c r="H31" s="318" t="str">
        <f t="shared" si="1"/>
        <v>Thursday</v>
      </c>
      <c r="I31" s="319">
        <v>46044.0</v>
      </c>
      <c r="J31" s="170">
        <f t="array" ref="J31">sum(IF(($P$3:$P$100=I31), $T$3:$T$100, 0))</f>
        <v>435</v>
      </c>
      <c r="L31" s="153"/>
      <c r="M31" s="154"/>
      <c r="N31" s="68"/>
      <c r="P31" s="404">
        <v>46027.0</v>
      </c>
      <c r="Q31" s="132" t="s">
        <v>131</v>
      </c>
      <c r="R31" s="132" t="s">
        <v>131</v>
      </c>
      <c r="S31" s="132" t="s">
        <v>51</v>
      </c>
      <c r="T31" s="132">
        <f>40+10+50*4+10+430</f>
        <v>690</v>
      </c>
      <c r="U31" s="109" t="s">
        <v>255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Friday</v>
      </c>
      <c r="I32" s="319">
        <v>46045.0</v>
      </c>
      <c r="J32" s="170">
        <f t="array" ref="J32">sum(IF(($P$3:$P$100=I32), $T$3:$T$100, 0))</f>
        <v>900</v>
      </c>
      <c r="P32" s="404">
        <v>46027.0</v>
      </c>
      <c r="Q32" s="132" t="s">
        <v>123</v>
      </c>
      <c r="R32" s="132" t="s">
        <v>145</v>
      </c>
      <c r="S32" s="132" t="s">
        <v>51</v>
      </c>
      <c r="T32" s="132">
        <v>30.0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Saturday</v>
      </c>
      <c r="I33" s="319">
        <v>46046.0</v>
      </c>
      <c r="J33" s="170">
        <f t="array" ref="J33">sum(IF(($P$3:$P$100=I33), $T$3:$T$100, 0))</f>
        <v>20</v>
      </c>
      <c r="L33" s="137" t="s">
        <v>134</v>
      </c>
      <c r="M33" s="86"/>
      <c r="N33" s="138">
        <f>sum(N35:N40)</f>
        <v>0</v>
      </c>
      <c r="P33" s="404">
        <v>46028.0</v>
      </c>
      <c r="Q33" s="132" t="s">
        <v>131</v>
      </c>
      <c r="R33" s="132" t="s">
        <v>23</v>
      </c>
      <c r="S33" s="132" t="s">
        <v>51</v>
      </c>
      <c r="T33" s="132">
        <f>650+10</f>
        <v>660</v>
      </c>
      <c r="U33" s="109" t="s">
        <v>256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Sunday</v>
      </c>
      <c r="I34" s="319">
        <v>46047.0</v>
      </c>
      <c r="J34" s="170">
        <f t="array" ref="J34">sum(IF(($P$3:$P$100=I34), $T$3:$T$100, 0))</f>
        <v>110</v>
      </c>
      <c r="L34" s="139" t="s">
        <v>39</v>
      </c>
      <c r="M34" s="140" t="s">
        <v>243</v>
      </c>
      <c r="N34" s="141" t="s">
        <v>244</v>
      </c>
      <c r="P34" s="404">
        <v>46028.0</v>
      </c>
      <c r="Q34" s="132" t="s">
        <v>131</v>
      </c>
      <c r="R34" s="132" t="s">
        <v>148</v>
      </c>
      <c r="S34" s="132" t="s">
        <v>51</v>
      </c>
      <c r="T34" s="132">
        <f>15+40</f>
        <v>55</v>
      </c>
      <c r="U34" s="109"/>
      <c r="V34" s="136"/>
    </row>
    <row r="35">
      <c r="B35" s="317"/>
      <c r="C35" s="112"/>
      <c r="D35" s="112"/>
      <c r="E35" s="108"/>
      <c r="F35" s="174"/>
      <c r="H35" s="318" t="str">
        <f t="shared" si="1"/>
        <v>Monday</v>
      </c>
      <c r="I35" s="319">
        <v>46048.0</v>
      </c>
      <c r="J35" s="170">
        <f t="array" ref="J35">sum(IF(($P$3:$P$100=I35), $T$3:$T$100, 0))</f>
        <v>100</v>
      </c>
      <c r="L35" s="293" t="str">
        <f t="array" ref="L35:L39">INDIRECT("SavingsAcc")</f>
        <v>EximBank_2.5</v>
      </c>
      <c r="M35" s="316"/>
      <c r="N35" s="341"/>
      <c r="P35" s="404">
        <v>46028.0</v>
      </c>
      <c r="Q35" s="132" t="s">
        <v>119</v>
      </c>
      <c r="R35" s="132" t="s">
        <v>142</v>
      </c>
      <c r="S35" s="132" t="s">
        <v>51</v>
      </c>
      <c r="T35" s="132">
        <v>40.0</v>
      </c>
      <c r="U35" s="109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 t="s">
        <v>121</v>
      </c>
      <c r="M36" s="316"/>
      <c r="N36" s="341"/>
      <c r="P36" s="404">
        <v>46029.0</v>
      </c>
      <c r="Q36" s="132" t="s">
        <v>123</v>
      </c>
      <c r="R36" s="132" t="s">
        <v>145</v>
      </c>
      <c r="S36" s="132" t="s">
        <v>51</v>
      </c>
      <c r="T36" s="132">
        <f>410-50</f>
        <v>360</v>
      </c>
      <c r="U36" s="109" t="s">
        <v>257</v>
      </c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 t="s">
        <v>125</v>
      </c>
      <c r="M37" s="316"/>
      <c r="N37" s="341"/>
      <c r="P37" s="404">
        <v>46029.0</v>
      </c>
      <c r="Q37" s="132" t="s">
        <v>131</v>
      </c>
      <c r="R37" s="132" t="s">
        <v>148</v>
      </c>
      <c r="S37" s="132" t="s">
        <v>51</v>
      </c>
      <c r="T37" s="132">
        <f>15+15</f>
        <v>30</v>
      </c>
      <c r="U37" s="109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 t="s">
        <v>129</v>
      </c>
      <c r="M38" s="316"/>
      <c r="N38" s="345"/>
      <c r="P38" s="404">
        <v>46029.0</v>
      </c>
      <c r="Q38" s="132" t="s">
        <v>119</v>
      </c>
      <c r="R38" s="132" t="s">
        <v>142</v>
      </c>
      <c r="S38" s="132" t="s">
        <v>51</v>
      </c>
      <c r="T38" s="132">
        <v>20.0</v>
      </c>
      <c r="U38" s="408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 t="s">
        <v>132</v>
      </c>
      <c r="M39" s="289"/>
      <c r="N39" s="128"/>
      <c r="P39" s="404">
        <v>46030.0</v>
      </c>
      <c r="Q39" s="132" t="s">
        <v>119</v>
      </c>
      <c r="R39" s="132" t="s">
        <v>138</v>
      </c>
      <c r="S39" s="132" t="s">
        <v>51</v>
      </c>
      <c r="T39" s="132">
        <v>145.0</v>
      </c>
      <c r="U39" s="109" t="s">
        <v>229</v>
      </c>
      <c r="V39" s="136"/>
    </row>
    <row r="40">
      <c r="P40" s="404">
        <v>46028.0</v>
      </c>
      <c r="Q40" s="132" t="s">
        <v>131</v>
      </c>
      <c r="R40" s="132" t="s">
        <v>131</v>
      </c>
      <c r="S40" s="132" t="s">
        <v>51</v>
      </c>
      <c r="T40" s="132">
        <v>5000.0</v>
      </c>
      <c r="U40" s="481" t="s">
        <v>258</v>
      </c>
      <c r="V40" s="136"/>
    </row>
    <row r="41">
      <c r="P41" s="404">
        <v>46033.0</v>
      </c>
      <c r="Q41" s="132" t="s">
        <v>131</v>
      </c>
      <c r="R41" s="132" t="s">
        <v>148</v>
      </c>
      <c r="S41" s="132" t="s">
        <v>51</v>
      </c>
      <c r="T41" s="132">
        <f>15+10+15</f>
        <v>40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0"/>
      <c r="I42" s="410"/>
      <c r="J42" s="410"/>
      <c r="K42" s="411"/>
      <c r="L42" s="412"/>
      <c r="P42" s="404">
        <v>46033.0</v>
      </c>
      <c r="Q42" s="132" t="s">
        <v>131</v>
      </c>
      <c r="R42" s="132" t="s">
        <v>23</v>
      </c>
      <c r="S42" s="132" t="s">
        <v>51</v>
      </c>
      <c r="T42" s="132">
        <f>100+40+80+120</f>
        <v>340</v>
      </c>
      <c r="U42" s="113"/>
      <c r="V42" s="136"/>
    </row>
    <row r="43">
      <c r="B43" s="413"/>
      <c r="C43" s="414"/>
      <c r="D43" s="414"/>
      <c r="E43" s="414"/>
      <c r="F43" s="414"/>
      <c r="G43" s="414"/>
      <c r="H43" s="414"/>
      <c r="I43" s="414"/>
      <c r="J43" s="414"/>
      <c r="K43" s="415"/>
      <c r="L43" s="51"/>
      <c r="P43" s="404">
        <v>46033.0</v>
      </c>
      <c r="Q43" s="132" t="s">
        <v>123</v>
      </c>
      <c r="R43" s="132" t="s">
        <v>145</v>
      </c>
      <c r="S43" s="132" t="s">
        <v>51</v>
      </c>
      <c r="T43" s="132">
        <f>300+290+30</f>
        <v>620</v>
      </c>
      <c r="U43" s="109" t="s">
        <v>259</v>
      </c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483" t="s">
        <v>43</v>
      </c>
      <c r="J44" s="485" t="s">
        <v>4</v>
      </c>
      <c r="K44" s="418"/>
      <c r="L44" s="486" t="s">
        <v>206</v>
      </c>
      <c r="P44" s="404">
        <v>46033.0</v>
      </c>
      <c r="Q44" s="132" t="s">
        <v>119</v>
      </c>
      <c r="R44" s="132" t="s">
        <v>142</v>
      </c>
      <c r="S44" s="132" t="s">
        <v>51</v>
      </c>
      <c r="T44" s="132">
        <f>30+30+20</f>
        <v>80</v>
      </c>
      <c r="U44" s="109"/>
      <c r="V44" s="136"/>
    </row>
    <row r="45">
      <c r="B45" s="423" t="s">
        <v>114</v>
      </c>
      <c r="C45" s="424"/>
      <c r="D45" s="425"/>
      <c r="E45" s="426">
        <f>Sum(I45:I50)</f>
        <v>16470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16445</v>
      </c>
      <c r="M45" s="298">
        <f>I45+I48+I50</f>
        <v>14880</v>
      </c>
      <c r="P45" s="404">
        <v>46034.0</v>
      </c>
      <c r="Q45" s="132" t="s">
        <v>131</v>
      </c>
      <c r="R45" s="132" t="s">
        <v>148</v>
      </c>
      <c r="S45" s="132" t="s">
        <v>51</v>
      </c>
      <c r="T45" s="132">
        <v>15.0</v>
      </c>
      <c r="U45" s="113"/>
      <c r="V45" s="136"/>
    </row>
    <row r="46">
      <c r="B46" s="432"/>
      <c r="D46" s="433"/>
      <c r="E46" s="434"/>
      <c r="F46" s="435" t="s">
        <v>118</v>
      </c>
      <c r="H46" s="433"/>
      <c r="I46" s="436">
        <v>500.0</v>
      </c>
      <c r="J46" s="437">
        <f t="array" ref="J46">sum(IF(($R$3:$R$100=F46), $T$3:$T$100, 0))</f>
        <v>500</v>
      </c>
      <c r="K46" s="418"/>
      <c r="L46" s="434"/>
      <c r="P46" s="404">
        <v>46034.0</v>
      </c>
      <c r="Q46" s="132" t="s">
        <v>119</v>
      </c>
      <c r="R46" s="132" t="s">
        <v>138</v>
      </c>
      <c r="S46" s="132" t="s">
        <v>51</v>
      </c>
      <c r="T46" s="132">
        <v>175.0</v>
      </c>
      <c r="U46" s="113"/>
      <c r="V46" s="136"/>
    </row>
    <row r="47">
      <c r="B47" s="438"/>
      <c r="D47" s="439"/>
      <c r="E47" s="37"/>
      <c r="F47" s="440" t="s">
        <v>122</v>
      </c>
      <c r="H47" s="439"/>
      <c r="I47" s="441">
        <v>250.0</v>
      </c>
      <c r="J47" s="429">
        <f t="array" ref="J47">sum(IF(($R$3:$R$100=F47), $T$3:$T$100, 0))</f>
        <v>225</v>
      </c>
      <c r="K47" s="430"/>
      <c r="L47" s="37"/>
      <c r="P47" s="404">
        <v>46034.0</v>
      </c>
      <c r="Q47" s="132" t="s">
        <v>123</v>
      </c>
      <c r="R47" s="132" t="s">
        <v>144</v>
      </c>
      <c r="S47" s="132" t="s">
        <v>51</v>
      </c>
      <c r="T47" s="132">
        <v>250.0</v>
      </c>
      <c r="U47" s="109" t="s">
        <v>260</v>
      </c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P48" s="404">
        <v>46034.0</v>
      </c>
      <c r="Q48" s="132" t="s">
        <v>26</v>
      </c>
      <c r="R48" s="132" t="s">
        <v>151</v>
      </c>
      <c r="S48" s="132" t="s">
        <v>51</v>
      </c>
      <c r="T48" s="132">
        <v>40.0</v>
      </c>
      <c r="U48" s="109"/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P49" s="404">
        <v>46035.0</v>
      </c>
      <c r="Q49" s="132" t="s">
        <v>119</v>
      </c>
      <c r="R49" s="132" t="s">
        <v>138</v>
      </c>
      <c r="S49" s="132" t="s">
        <v>51</v>
      </c>
      <c r="T49" s="132">
        <v>90.0</v>
      </c>
      <c r="U49" s="113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P50" s="404">
        <v>46036.0</v>
      </c>
      <c r="Q50" s="132" t="s">
        <v>119</v>
      </c>
      <c r="R50" s="132" t="s">
        <v>138</v>
      </c>
      <c r="S50" s="132" t="s">
        <v>51</v>
      </c>
      <c r="T50" s="132">
        <v>40.0</v>
      </c>
      <c r="U50" s="113"/>
      <c r="V50" s="136"/>
    </row>
    <row r="51">
      <c r="B51" s="447" t="s">
        <v>119</v>
      </c>
      <c r="C51" s="424"/>
      <c r="D51" s="425"/>
      <c r="E51" s="431">
        <f>Sum(I51:I54)</f>
        <v>8500</v>
      </c>
      <c r="F51" s="448" t="s">
        <v>135</v>
      </c>
      <c r="G51" s="424"/>
      <c r="H51" s="425"/>
      <c r="I51" s="449">
        <v>500.0</v>
      </c>
      <c r="J51" s="450">
        <f t="array" ref="J51">sum(IF(($R$3:$R$100=F51), $T$3:$T$100, 0))</f>
        <v>80</v>
      </c>
      <c r="K51" s="430"/>
      <c r="L51" s="431">
        <f>sum(J51:J54)</f>
        <v>9710</v>
      </c>
      <c r="P51" s="404">
        <v>46036.0</v>
      </c>
      <c r="Q51" s="132" t="s">
        <v>131</v>
      </c>
      <c r="R51" s="132" t="s">
        <v>131</v>
      </c>
      <c r="S51" s="132" t="s">
        <v>51</v>
      </c>
      <c r="T51" s="132">
        <v>350.0</v>
      </c>
      <c r="U51" s="109" t="s">
        <v>199</v>
      </c>
      <c r="V51" s="136"/>
    </row>
    <row r="52">
      <c r="B52" s="432"/>
      <c r="D52" s="433"/>
      <c r="E52" s="434"/>
      <c r="F52" s="451" t="s">
        <v>138</v>
      </c>
      <c r="H52" s="433"/>
      <c r="I52" s="452">
        <v>500.0</v>
      </c>
      <c r="J52" s="453">
        <f t="array" ref="J52">sum(IF(($R$3:$R$100=F52), $T$3:$T$100, 0))</f>
        <v>1075</v>
      </c>
      <c r="K52" s="418"/>
      <c r="L52" s="434"/>
      <c r="P52" s="404">
        <v>46037.0</v>
      </c>
      <c r="Q52" s="132" t="s">
        <v>134</v>
      </c>
      <c r="R52" s="132" t="s">
        <v>116</v>
      </c>
      <c r="S52" s="132" t="s">
        <v>136</v>
      </c>
      <c r="T52" s="132">
        <v>2510.0</v>
      </c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6000.0</v>
      </c>
      <c r="J53" s="450">
        <f t="array" ref="J53">sum(IF(($R$3:$R$100=F53), $T$3:$T$100, 0))</f>
        <v>6120</v>
      </c>
      <c r="K53" s="430"/>
      <c r="L53" s="37"/>
      <c r="P53" s="404">
        <v>46037.0</v>
      </c>
      <c r="Q53" s="132" t="s">
        <v>123</v>
      </c>
      <c r="R53" s="132" t="s">
        <v>145</v>
      </c>
      <c r="S53" s="132" t="s">
        <v>51</v>
      </c>
      <c r="T53" s="132">
        <v>140.0</v>
      </c>
      <c r="U53" s="113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1500.0</v>
      </c>
      <c r="J54" s="453">
        <f t="array" ref="J54">sum(IF(($R$3:$R$100=F54), $T$3:$T$100, 0))</f>
        <v>2435</v>
      </c>
      <c r="K54" s="418"/>
      <c r="L54" s="445"/>
      <c r="P54" s="404">
        <v>46037.0</v>
      </c>
      <c r="Q54" s="132" t="s">
        <v>119</v>
      </c>
      <c r="R54" s="132" t="s">
        <v>142</v>
      </c>
      <c r="S54" s="132" t="s">
        <v>51</v>
      </c>
      <c r="T54" s="132">
        <v>10.0</v>
      </c>
      <c r="U54" s="113"/>
      <c r="V54" s="136"/>
    </row>
    <row r="55">
      <c r="B55" s="447" t="s">
        <v>123</v>
      </c>
      <c r="C55" s="424"/>
      <c r="D55" s="425"/>
      <c r="E55" s="431">
        <f>sum(I55:I57)</f>
        <v>2500</v>
      </c>
      <c r="F55" s="448" t="s">
        <v>123</v>
      </c>
      <c r="G55" s="424"/>
      <c r="H55" s="425"/>
      <c r="I55" s="456">
        <v>200.0</v>
      </c>
      <c r="J55" s="450">
        <f t="array" ref="J55">sum(IF(($R$3:$R$100=F55), $T$3:$T$100, 0))</f>
        <v>520</v>
      </c>
      <c r="K55" s="430"/>
      <c r="L55" s="431">
        <f>sum(J55:J58)</f>
        <v>5975</v>
      </c>
      <c r="P55" s="404">
        <v>46038.0</v>
      </c>
      <c r="Q55" s="132" t="s">
        <v>123</v>
      </c>
      <c r="R55" s="132" t="s">
        <v>145</v>
      </c>
      <c r="S55" s="132" t="s">
        <v>51</v>
      </c>
      <c r="T55" s="132">
        <v>85.0</v>
      </c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300.0</v>
      </c>
      <c r="J56" s="453">
        <f t="array" ref="J56">sum(IF(($R$3:$R$100=F56), $T$3:$T$100, 0))</f>
        <v>1440</v>
      </c>
      <c r="K56" s="418"/>
      <c r="L56" s="434"/>
      <c r="P56" s="404">
        <v>46038.0</v>
      </c>
      <c r="Q56" s="132" t="s">
        <v>123</v>
      </c>
      <c r="R56" s="132" t="s">
        <v>144</v>
      </c>
      <c r="S56" s="132" t="s">
        <v>51</v>
      </c>
      <c r="T56" s="132">
        <v>40.0</v>
      </c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2000.0</v>
      </c>
      <c r="J57" s="450">
        <f t="array" ref="J57">sum(IF(($R$3:$R$100=F57), $T$3:$T$100, 0))</f>
        <v>3715</v>
      </c>
      <c r="K57" s="430"/>
      <c r="L57" s="51"/>
      <c r="P57" s="404">
        <v>46038.0</v>
      </c>
      <c r="Q57" s="132" t="s">
        <v>26</v>
      </c>
      <c r="R57" s="132" t="s">
        <v>26</v>
      </c>
      <c r="S57" s="132" t="s">
        <v>51</v>
      </c>
      <c r="T57" s="132">
        <f>20+5</f>
        <v>25</v>
      </c>
      <c r="U57" s="113"/>
      <c r="V57" s="136"/>
    </row>
    <row r="58">
      <c r="B58" s="458" t="s">
        <v>127</v>
      </c>
      <c r="C58" s="459"/>
      <c r="D58" s="460"/>
      <c r="E58" s="461">
        <f>I58+I59</f>
        <v>400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300</v>
      </c>
      <c r="K58" s="418"/>
      <c r="L58" s="464">
        <f>J58+J59</f>
        <v>609</v>
      </c>
      <c r="P58" s="404">
        <v>46038.0</v>
      </c>
      <c r="Q58" s="132" t="s">
        <v>119</v>
      </c>
      <c r="R58" s="132" t="s">
        <v>142</v>
      </c>
      <c r="S58" s="132" t="s">
        <v>51</v>
      </c>
      <c r="T58" s="132">
        <f>40+10</f>
        <v>50</v>
      </c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441">
        <v>300.0</v>
      </c>
      <c r="J59" s="450">
        <f t="array" ref="J59">sum(IF(($R$3:$R$100=F59), $T$3:$T$100, 0))</f>
        <v>309</v>
      </c>
      <c r="K59" s="430"/>
      <c r="L59" s="51"/>
      <c r="P59" s="404">
        <v>46038.0</v>
      </c>
      <c r="Q59" s="132" t="s">
        <v>127</v>
      </c>
      <c r="R59" s="132" t="s">
        <v>146</v>
      </c>
      <c r="S59" s="132" t="s">
        <v>12</v>
      </c>
      <c r="T59" s="132">
        <v>270.0</v>
      </c>
      <c r="U59" s="113"/>
      <c r="V59" s="136"/>
    </row>
    <row r="60">
      <c r="B60" s="458" t="s">
        <v>131</v>
      </c>
      <c r="C60" s="459"/>
      <c r="D60" s="460"/>
      <c r="E60" s="467">
        <f>I60+I61+I62+I63+I64</f>
        <v>22650</v>
      </c>
      <c r="F60" s="462" t="s">
        <v>148</v>
      </c>
      <c r="G60" s="459"/>
      <c r="H60" s="460"/>
      <c r="I60" s="487">
        <v>150.0</v>
      </c>
      <c r="J60" s="453">
        <f t="array" ref="J60">sum(IF(($R$3:$R$100=F60), $T$3:$T$100, 0))</f>
        <v>190</v>
      </c>
      <c r="K60" s="418"/>
      <c r="L60" s="464">
        <f>J60+J61+J62+J63+J64</f>
        <v>23705</v>
      </c>
      <c r="P60" s="404">
        <v>46038.0</v>
      </c>
      <c r="Q60" s="132" t="s">
        <v>114</v>
      </c>
      <c r="R60" s="132" t="s">
        <v>118</v>
      </c>
      <c r="S60" s="132" t="s">
        <v>136</v>
      </c>
      <c r="T60" s="132">
        <v>500.0</v>
      </c>
      <c r="U60" s="113"/>
      <c r="V60" s="136"/>
    </row>
    <row r="61">
      <c r="B61" s="438"/>
      <c r="D61" s="439"/>
      <c r="E61" s="438"/>
      <c r="F61" s="454" t="s">
        <v>23</v>
      </c>
      <c r="H61" s="439"/>
      <c r="I61" s="488">
        <v>2000.0</v>
      </c>
      <c r="J61" s="450">
        <f t="array" ref="J61">sum(IF(($R$3:$R$100=F61), $T$3:$T$100, 0))</f>
        <v>2590</v>
      </c>
      <c r="K61" s="430"/>
      <c r="L61" s="37"/>
      <c r="P61" s="404">
        <v>46040.0</v>
      </c>
      <c r="Q61" s="132" t="s">
        <v>119</v>
      </c>
      <c r="R61" s="132" t="s">
        <v>142</v>
      </c>
      <c r="S61" s="132" t="s">
        <v>51</v>
      </c>
      <c r="T61" s="132">
        <f>40+10+100+50</f>
        <v>200</v>
      </c>
      <c r="U61" s="113"/>
      <c r="V61" s="136"/>
    </row>
    <row r="62">
      <c r="B62" s="432"/>
      <c r="D62" s="433"/>
      <c r="E62" s="432"/>
      <c r="F62" s="451" t="s">
        <v>149</v>
      </c>
      <c r="H62" s="433"/>
      <c r="I62" s="489">
        <v>2500.0</v>
      </c>
      <c r="J62" s="453">
        <f t="array" ref="J62">sum(IF(($R$3:$R$100=F62), $T$3:$T$100, 0))</f>
        <v>2475</v>
      </c>
      <c r="K62" s="418"/>
      <c r="L62" s="434"/>
      <c r="P62" s="404">
        <v>46040.0</v>
      </c>
      <c r="Q62" s="132" t="s">
        <v>131</v>
      </c>
      <c r="R62" s="132" t="s">
        <v>23</v>
      </c>
      <c r="S62" s="132" t="s">
        <v>51</v>
      </c>
      <c r="T62" s="132">
        <v>120.0</v>
      </c>
      <c r="U62" s="113"/>
      <c r="V62" s="136"/>
    </row>
    <row r="63">
      <c r="B63" s="438"/>
      <c r="D63" s="439"/>
      <c r="E63" s="438"/>
      <c r="F63" s="454" t="s">
        <v>150</v>
      </c>
      <c r="H63" s="439"/>
      <c r="I63" s="490">
        <v>0.0</v>
      </c>
      <c r="J63" s="450">
        <f t="array" ref="J63">sum(IF(($R$3:$R$100=F63), $T$3:$T$100, 0))</f>
        <v>0</v>
      </c>
      <c r="K63" s="430"/>
      <c r="L63" s="37"/>
      <c r="P63" s="404">
        <v>46040.0</v>
      </c>
      <c r="Q63" s="132" t="s">
        <v>123</v>
      </c>
      <c r="R63" s="132" t="s">
        <v>145</v>
      </c>
      <c r="S63" s="132" t="s">
        <v>51</v>
      </c>
      <c r="T63" s="132">
        <v>110.0</v>
      </c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491">
        <v>18000.0</v>
      </c>
      <c r="J64" s="467">
        <f t="array" ref="J64">sum(IF(($R$3:$R$100=F64), $T$3:$T$100, 0))</f>
        <v>18450</v>
      </c>
      <c r="K64" s="460"/>
      <c r="L64" s="445"/>
      <c r="P64" s="404">
        <v>46040.0</v>
      </c>
      <c r="Q64" s="132" t="s">
        <v>26</v>
      </c>
      <c r="R64" s="132" t="s">
        <v>151</v>
      </c>
      <c r="S64" s="132" t="s">
        <v>51</v>
      </c>
      <c r="T64" s="132">
        <v>70.0</v>
      </c>
      <c r="U64" s="113"/>
      <c r="V64" s="136"/>
    </row>
    <row r="65">
      <c r="B65" s="38" t="s">
        <v>134</v>
      </c>
      <c r="D65" s="439"/>
      <c r="E65" s="492">
        <f>sum(I65:I68)</f>
        <v>2500</v>
      </c>
      <c r="F65" s="448" t="s">
        <v>116</v>
      </c>
      <c r="G65" s="424"/>
      <c r="H65" s="425"/>
      <c r="I65" s="490">
        <v>2500.0</v>
      </c>
      <c r="J65" s="468">
        <f t="array" ref="J65">sum(IF(($R$3:$R$100=F65), $T$3:$T$100, 0))</f>
        <v>2510</v>
      </c>
      <c r="K65" s="425"/>
      <c r="L65" s="431">
        <f>sum(J65:J68)</f>
        <v>2510</v>
      </c>
      <c r="P65" s="404">
        <v>46041.0</v>
      </c>
      <c r="Q65" s="132" t="s">
        <v>123</v>
      </c>
      <c r="R65" s="132" t="s">
        <v>145</v>
      </c>
      <c r="S65" s="132" t="s">
        <v>51</v>
      </c>
      <c r="T65" s="132">
        <f>800+40</f>
        <v>840</v>
      </c>
      <c r="U65" s="113"/>
      <c r="V65" s="136"/>
    </row>
    <row r="66">
      <c r="B66" s="432"/>
      <c r="D66" s="433"/>
      <c r="E66" s="432"/>
      <c r="F66" s="493" t="s">
        <v>121</v>
      </c>
      <c r="H66" s="433"/>
      <c r="I66" s="494">
        <v>0.0</v>
      </c>
      <c r="J66" s="470">
        <f t="array" ref="J66">sum(IF(($R$3:$R$100=F66), $T$3:$T$100, 0))</f>
        <v>0</v>
      </c>
      <c r="K66" s="460"/>
      <c r="L66" s="434"/>
      <c r="P66" s="404">
        <v>46041.0</v>
      </c>
      <c r="Q66" s="132" t="s">
        <v>131</v>
      </c>
      <c r="R66" s="132" t="s">
        <v>23</v>
      </c>
      <c r="S66" s="132" t="s">
        <v>51</v>
      </c>
      <c r="T66" s="132">
        <v>20.0</v>
      </c>
      <c r="U66" s="113"/>
      <c r="V66" s="136"/>
    </row>
    <row r="67">
      <c r="B67" s="438"/>
      <c r="D67" s="439"/>
      <c r="E67" s="438"/>
      <c r="F67" s="454" t="s">
        <v>125</v>
      </c>
      <c r="H67" s="439"/>
      <c r="I67" s="490">
        <v>0.0</v>
      </c>
      <c r="J67" s="468">
        <f t="array" ref="J67">sum(IF(($R$3:$R$100=F67), $T$3:$T$100, 0))</f>
        <v>0</v>
      </c>
      <c r="K67" s="425"/>
      <c r="L67" s="37"/>
      <c r="P67" s="404">
        <v>46041.0</v>
      </c>
      <c r="Q67" s="132" t="s">
        <v>131</v>
      </c>
      <c r="R67" s="132" t="s">
        <v>148</v>
      </c>
      <c r="S67" s="132" t="s">
        <v>51</v>
      </c>
      <c r="T67" s="132">
        <v>20.0</v>
      </c>
      <c r="U67" s="113"/>
      <c r="V67" s="136"/>
    </row>
    <row r="68">
      <c r="B68" s="432"/>
      <c r="D68" s="433"/>
      <c r="E68" s="442"/>
      <c r="F68" s="493" t="s">
        <v>129</v>
      </c>
      <c r="H68" s="433"/>
      <c r="I68" s="494">
        <v>0.0</v>
      </c>
      <c r="J68" s="472">
        <f t="array" ref="J68">sum(IF(($R$3:$R$100=F68), $T$3:$T$100, 0))</f>
        <v>0</v>
      </c>
      <c r="K68" s="418"/>
      <c r="L68" s="445"/>
      <c r="P68" s="404">
        <v>46041.0</v>
      </c>
      <c r="Q68" s="132" t="s">
        <v>119</v>
      </c>
      <c r="R68" s="132" t="s">
        <v>142</v>
      </c>
      <c r="S68" s="132" t="s">
        <v>51</v>
      </c>
      <c r="T68" s="102">
        <f>20+20</f>
        <v>40</v>
      </c>
      <c r="U68" s="113"/>
      <c r="V68" s="136"/>
    </row>
    <row r="69">
      <c r="B69" s="447" t="s">
        <v>26</v>
      </c>
      <c r="C69" s="424"/>
      <c r="D69" s="425"/>
      <c r="E69" s="495"/>
      <c r="F69" s="495" t="s">
        <v>132</v>
      </c>
      <c r="G69" s="424"/>
      <c r="H69" s="425"/>
      <c r="I69" s="496">
        <v>200.0</v>
      </c>
      <c r="J69" s="497">
        <f t="array" ref="J69">sum(IF(($R$3:$R$100=F69), $T$3:$T$100, 0))</f>
        <v>0</v>
      </c>
      <c r="K69" s="430"/>
      <c r="L69" s="466"/>
      <c r="P69" s="404">
        <v>46040.0</v>
      </c>
      <c r="Q69" s="132" t="s">
        <v>127</v>
      </c>
      <c r="R69" s="132" t="s">
        <v>146</v>
      </c>
      <c r="S69" s="132" t="s">
        <v>12</v>
      </c>
      <c r="T69" s="132">
        <v>30.0</v>
      </c>
      <c r="U69" s="113"/>
      <c r="V69" s="136"/>
    </row>
    <row r="70">
      <c r="B70" s="442"/>
      <c r="C70" s="443"/>
      <c r="D70" s="444"/>
      <c r="E70" s="442"/>
      <c r="F70" s="493" t="s">
        <v>26</v>
      </c>
      <c r="H70" s="433"/>
      <c r="I70" s="498"/>
      <c r="J70" s="472">
        <f t="array" ref="J70">sum(IF(($R$3:$R$100=F70), $T$3:$T$100, 0))</f>
        <v>25</v>
      </c>
      <c r="K70" s="418"/>
      <c r="L70" s="445"/>
      <c r="P70" s="404">
        <v>46041.0</v>
      </c>
      <c r="Q70" s="132" t="s">
        <v>114</v>
      </c>
      <c r="R70" s="132" t="s">
        <v>130</v>
      </c>
      <c r="S70" s="132" t="s">
        <v>12</v>
      </c>
      <c r="T70" s="132">
        <v>840.0</v>
      </c>
      <c r="U70" s="113"/>
      <c r="V70" s="136"/>
    </row>
    <row r="71">
      <c r="B71" s="447" t="s">
        <v>139</v>
      </c>
      <c r="C71" s="424"/>
      <c r="D71" s="425"/>
      <c r="E71" s="495"/>
      <c r="F71" s="495" t="s">
        <v>151</v>
      </c>
      <c r="G71" s="424"/>
      <c r="H71" s="425"/>
      <c r="I71" s="499"/>
      <c r="J71" s="497">
        <f t="array" ref="J71">sum(IF(($R$3:$R$100=F71), $T$3:$T$100, 0))</f>
        <v>190</v>
      </c>
      <c r="K71" s="430"/>
      <c r="L71" s="466"/>
      <c r="P71" s="404">
        <v>46041.0</v>
      </c>
      <c r="Q71" s="132" t="s">
        <v>114</v>
      </c>
      <c r="R71" s="132" t="s">
        <v>122</v>
      </c>
      <c r="S71" s="132" t="s">
        <v>12</v>
      </c>
      <c r="T71" s="132">
        <v>225.0</v>
      </c>
      <c r="U71" s="113"/>
      <c r="V71" s="136"/>
    </row>
    <row r="72">
      <c r="B72" s="442"/>
      <c r="C72" s="443"/>
      <c r="D72" s="444"/>
      <c r="E72" s="442"/>
      <c r="F72" s="469" t="s">
        <v>152</v>
      </c>
      <c r="G72" s="443"/>
      <c r="H72" s="444"/>
      <c r="I72" s="498"/>
      <c r="J72" s="472">
        <f t="array" ref="J72">sum(IF(($R$3:$R$100=F72), $T$3:$T$100, 0))</f>
        <v>0</v>
      </c>
      <c r="K72" s="418"/>
      <c r="L72" s="445"/>
      <c r="P72" s="404">
        <v>46042.0</v>
      </c>
      <c r="Q72" s="132" t="s">
        <v>123</v>
      </c>
      <c r="R72" s="132" t="s">
        <v>144</v>
      </c>
      <c r="S72" s="132" t="s">
        <v>120</v>
      </c>
      <c r="T72" s="132">
        <v>1020.0</v>
      </c>
      <c r="U72" s="113"/>
      <c r="V72" s="136"/>
    </row>
    <row r="73">
      <c r="F73" s="298" t="s">
        <v>153</v>
      </c>
      <c r="P73" s="404">
        <v>46043.0</v>
      </c>
      <c r="Q73" s="132" t="s">
        <v>123</v>
      </c>
      <c r="R73" s="132" t="s">
        <v>123</v>
      </c>
      <c r="S73" s="132" t="s">
        <v>120</v>
      </c>
      <c r="T73" s="132">
        <v>520.0</v>
      </c>
      <c r="U73" s="113"/>
      <c r="V73" s="136"/>
    </row>
    <row r="74">
      <c r="P74" s="404">
        <v>46043.0</v>
      </c>
      <c r="Q74" s="132" t="s">
        <v>119</v>
      </c>
      <c r="R74" s="132" t="s">
        <v>142</v>
      </c>
      <c r="S74" s="132" t="s">
        <v>51</v>
      </c>
      <c r="T74" s="132">
        <f>15+30</f>
        <v>45</v>
      </c>
      <c r="U74" s="113"/>
      <c r="V74" s="136"/>
    </row>
    <row r="75">
      <c r="H75" s="500" t="s">
        <v>96</v>
      </c>
      <c r="I75" s="501">
        <f t="shared" ref="I75:J75" si="2">SUM(I45:I72)</f>
        <v>53220</v>
      </c>
      <c r="J75" s="501">
        <f t="shared" si="2"/>
        <v>58869</v>
      </c>
      <c r="L75" s="502">
        <f t="shared" ref="L75:L77" si="4">I75-J75</f>
        <v>-5649</v>
      </c>
      <c r="P75" s="404">
        <v>46044.0</v>
      </c>
      <c r="Q75" s="132" t="s">
        <v>119</v>
      </c>
      <c r="R75" s="132" t="s">
        <v>138</v>
      </c>
      <c r="S75" s="132" t="s">
        <v>51</v>
      </c>
      <c r="T75" s="132">
        <f>90+90+90</f>
        <v>270</v>
      </c>
      <c r="U75" s="113"/>
      <c r="V75" s="136"/>
    </row>
    <row r="76">
      <c r="H76" s="503" t="s">
        <v>190</v>
      </c>
      <c r="I76" s="504">
        <f t="shared" ref="I76:J76" si="3">I46+I47+I49+I58+I59+I63+I67+I68+I62+I64+I65+I66</f>
        <v>24990</v>
      </c>
      <c r="J76" s="504">
        <f t="shared" si="3"/>
        <v>25609</v>
      </c>
      <c r="L76" s="505">
        <f t="shared" si="4"/>
        <v>-619</v>
      </c>
      <c r="P76" s="404">
        <v>46044.0</v>
      </c>
      <c r="Q76" s="132" t="s">
        <v>131</v>
      </c>
      <c r="R76" s="132" t="s">
        <v>131</v>
      </c>
      <c r="S76" s="132" t="s">
        <v>51</v>
      </c>
      <c r="T76" s="132">
        <v>100.0</v>
      </c>
      <c r="U76" s="113"/>
      <c r="V76" s="136"/>
    </row>
    <row r="77">
      <c r="H77" s="506" t="s">
        <v>51</v>
      </c>
      <c r="I77" s="507">
        <f t="shared" ref="I77:J77" si="5">I75-I76</f>
        <v>28230</v>
      </c>
      <c r="J77" s="507">
        <f t="shared" si="5"/>
        <v>33260</v>
      </c>
      <c r="L77" s="508">
        <f t="shared" si="4"/>
        <v>-5030</v>
      </c>
      <c r="P77" s="404">
        <v>46044.0</v>
      </c>
      <c r="Q77" s="132" t="s">
        <v>119</v>
      </c>
      <c r="R77" s="132" t="s">
        <v>142</v>
      </c>
      <c r="S77" s="132" t="s">
        <v>51</v>
      </c>
      <c r="T77" s="132">
        <v>50.0</v>
      </c>
      <c r="U77" s="113"/>
      <c r="V77" s="136"/>
    </row>
    <row r="78">
      <c r="P78" s="404">
        <v>46044.0</v>
      </c>
      <c r="Q78" s="132" t="s">
        <v>123</v>
      </c>
      <c r="R78" s="132" t="s">
        <v>145</v>
      </c>
      <c r="S78" s="132" t="s">
        <v>51</v>
      </c>
      <c r="T78" s="132">
        <v>15.0</v>
      </c>
      <c r="U78" s="113"/>
      <c r="V78" s="136"/>
    </row>
    <row r="79">
      <c r="P79" s="404">
        <v>46042.0</v>
      </c>
      <c r="Q79" s="132" t="s">
        <v>119</v>
      </c>
      <c r="R79" s="132" t="s">
        <v>141</v>
      </c>
      <c r="S79" s="132" t="s">
        <v>51</v>
      </c>
      <c r="T79" s="132">
        <f>1000</f>
        <v>1000</v>
      </c>
      <c r="U79" s="113"/>
      <c r="V79" s="136"/>
    </row>
    <row r="80">
      <c r="P80" s="404">
        <v>46045.0</v>
      </c>
      <c r="Q80" s="132" t="s">
        <v>119</v>
      </c>
      <c r="R80" s="132" t="s">
        <v>142</v>
      </c>
      <c r="S80" s="132" t="s">
        <v>51</v>
      </c>
      <c r="T80" s="132">
        <f>400+270</f>
        <v>670</v>
      </c>
      <c r="U80" s="113"/>
      <c r="V80" s="136"/>
    </row>
    <row r="81">
      <c r="E81" s="111"/>
      <c r="F81" s="111"/>
      <c r="P81" s="404">
        <v>46045.0</v>
      </c>
      <c r="Q81" s="132" t="s">
        <v>119</v>
      </c>
      <c r="R81" s="132" t="s">
        <v>138</v>
      </c>
      <c r="S81" s="132" t="s">
        <v>51</v>
      </c>
      <c r="T81" s="132">
        <v>40.0</v>
      </c>
      <c r="U81" s="113"/>
      <c r="V81" s="136"/>
    </row>
    <row r="82">
      <c r="E82" s="111"/>
      <c r="P82" s="404">
        <v>46045.0</v>
      </c>
      <c r="Q82" s="132" t="s">
        <v>123</v>
      </c>
      <c r="R82" s="132" t="s">
        <v>145</v>
      </c>
      <c r="S82" s="132" t="s">
        <v>51</v>
      </c>
      <c r="T82" s="132">
        <v>190.0</v>
      </c>
      <c r="U82" s="113"/>
      <c r="V82" s="136"/>
    </row>
    <row r="83">
      <c r="E83" s="111"/>
      <c r="P83" s="404">
        <v>46046.0</v>
      </c>
      <c r="Q83" s="132" t="s">
        <v>119</v>
      </c>
      <c r="R83" s="132" t="s">
        <v>142</v>
      </c>
      <c r="S83" s="132" t="s">
        <v>51</v>
      </c>
      <c r="T83" s="132">
        <v>20.0</v>
      </c>
      <c r="U83" s="113"/>
      <c r="V83" s="136"/>
    </row>
    <row r="84">
      <c r="E84" s="111"/>
      <c r="P84" s="509">
        <v>46047.0</v>
      </c>
      <c r="Q84" s="132" t="s">
        <v>119</v>
      </c>
      <c r="R84" s="132" t="s">
        <v>142</v>
      </c>
      <c r="S84" s="132" t="s">
        <v>51</v>
      </c>
      <c r="T84" s="102">
        <f>20</f>
        <v>20</v>
      </c>
      <c r="U84" s="113"/>
      <c r="V84" s="136"/>
    </row>
    <row r="85">
      <c r="P85" s="509">
        <v>46047.0</v>
      </c>
      <c r="Q85" s="132" t="s">
        <v>119</v>
      </c>
      <c r="R85" s="132" t="s">
        <v>138</v>
      </c>
      <c r="S85" s="132" t="s">
        <v>51</v>
      </c>
      <c r="T85" s="132">
        <v>90.0</v>
      </c>
      <c r="U85" s="113"/>
      <c r="V85" s="136"/>
    </row>
    <row r="86">
      <c r="P86" s="509">
        <v>46048.0</v>
      </c>
      <c r="Q86" s="132" t="s">
        <v>119</v>
      </c>
      <c r="R86" s="132" t="s">
        <v>142</v>
      </c>
      <c r="S86" s="132" t="s">
        <v>51</v>
      </c>
      <c r="T86" s="132">
        <v>20.0</v>
      </c>
      <c r="U86" s="113"/>
      <c r="V86" s="136"/>
    </row>
    <row r="87">
      <c r="P87" s="509">
        <v>46048.0</v>
      </c>
      <c r="Q87" s="132" t="s">
        <v>26</v>
      </c>
      <c r="R87" s="132" t="s">
        <v>151</v>
      </c>
      <c r="S87" s="132" t="s">
        <v>51</v>
      </c>
      <c r="T87" s="132">
        <v>80.0</v>
      </c>
      <c r="U87" s="113"/>
      <c r="V87" s="136"/>
    </row>
    <row r="88">
      <c r="P88" s="112"/>
      <c r="Q88" s="102"/>
      <c r="R88" s="102"/>
      <c r="S88" s="102"/>
      <c r="T88" s="102"/>
      <c r="U88" s="113"/>
      <c r="V88" s="136"/>
    </row>
    <row r="89">
      <c r="P89" s="112"/>
      <c r="Q89" s="102"/>
      <c r="R89" s="102"/>
      <c r="S89" s="102"/>
      <c r="T89" s="102"/>
      <c r="U89" s="113"/>
      <c r="V89" s="136"/>
    </row>
    <row r="90">
      <c r="P90" s="112"/>
      <c r="Q90" s="102"/>
      <c r="R90" s="102"/>
      <c r="S90" s="102"/>
      <c r="T90" s="102"/>
      <c r="U90" s="113"/>
      <c r="V90" s="136"/>
    </row>
    <row r="91">
      <c r="P91" s="112"/>
      <c r="Q91" s="102"/>
      <c r="R91" s="102"/>
      <c r="S91" s="102"/>
      <c r="T91" s="102"/>
      <c r="U91" s="113"/>
      <c r="V91" s="136"/>
    </row>
    <row r="92">
      <c r="P92" s="112"/>
      <c r="Q92" s="102"/>
      <c r="R92" s="102"/>
      <c r="S92" s="102"/>
      <c r="T92" s="102"/>
      <c r="U92" s="113"/>
      <c r="V92" s="136"/>
    </row>
    <row r="93">
      <c r="P93" s="112"/>
      <c r="Q93" s="102"/>
      <c r="R93" s="102"/>
      <c r="S93" s="102"/>
      <c r="T93" s="102"/>
      <c r="U93" s="113"/>
      <c r="V93" s="136"/>
    </row>
    <row r="94">
      <c r="P94" s="112"/>
      <c r="Q94" s="102"/>
      <c r="R94" s="102"/>
      <c r="S94" s="102"/>
      <c r="T94" s="102"/>
      <c r="U94" s="113"/>
      <c r="V94" s="136"/>
    </row>
    <row r="95">
      <c r="P95" s="112"/>
      <c r="Q95" s="102"/>
      <c r="R95" s="102"/>
      <c r="S95" s="102"/>
      <c r="T95" s="102"/>
      <c r="U95" s="113"/>
      <c r="V95" s="136"/>
    </row>
    <row r="96">
      <c r="P96" s="112"/>
      <c r="Q96" s="102"/>
      <c r="R96" s="102"/>
      <c r="S96" s="102"/>
      <c r="T96" s="102"/>
      <c r="U96" s="113"/>
      <c r="V96" s="136"/>
    </row>
    <row r="97">
      <c r="P97" s="112"/>
      <c r="Q97" s="102"/>
      <c r="R97" s="102"/>
      <c r="S97" s="102"/>
      <c r="T97" s="102"/>
      <c r="U97" s="113"/>
      <c r="V97" s="136"/>
    </row>
    <row r="98">
      <c r="P98" s="112"/>
      <c r="Q98" s="102"/>
      <c r="R98" s="102"/>
      <c r="S98" s="102"/>
      <c r="T98" s="102"/>
      <c r="U98" s="113"/>
      <c r="V98" s="136"/>
    </row>
    <row r="99">
      <c r="P99" s="112"/>
      <c r="Q99" s="102"/>
      <c r="R99" s="102"/>
      <c r="S99" s="102"/>
      <c r="T99" s="102"/>
      <c r="U99" s="113"/>
      <c r="V99" s="136"/>
    </row>
    <row r="100">
      <c r="P100" s="112"/>
      <c r="Q100" s="102"/>
      <c r="R100" s="102"/>
      <c r="S100" s="102"/>
      <c r="T100" s="102"/>
      <c r="U100" s="113"/>
      <c r="V100" s="136"/>
    </row>
    <row r="101">
      <c r="P101" s="298"/>
    </row>
    <row r="102">
      <c r="P102" s="298"/>
    </row>
    <row r="103">
      <c r="P103" s="298"/>
    </row>
    <row r="104">
      <c r="P104" s="298"/>
    </row>
    <row r="105">
      <c r="P105" s="298"/>
    </row>
    <row r="106">
      <c r="P106" s="298"/>
    </row>
    <row r="107">
      <c r="P107" s="298"/>
    </row>
    <row r="108">
      <c r="P108" s="298"/>
    </row>
    <row r="109">
      <c r="P109" s="298"/>
    </row>
    <row r="110">
      <c r="P110" s="298"/>
    </row>
    <row r="111">
      <c r="P111" s="298"/>
    </row>
    <row r="112">
      <c r="P112" s="298"/>
    </row>
    <row r="113">
      <c r="P113" s="298"/>
    </row>
    <row r="114">
      <c r="P114" s="298"/>
    </row>
    <row r="115">
      <c r="P115" s="298"/>
    </row>
    <row r="116"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97">
    <mergeCell ref="J47:K47"/>
    <mergeCell ref="F48:H48"/>
    <mergeCell ref="J48:K48"/>
    <mergeCell ref="B42:K43"/>
    <mergeCell ref="L42:L43"/>
    <mergeCell ref="B44:D44"/>
    <mergeCell ref="B45:D50"/>
    <mergeCell ref="E45:E50"/>
    <mergeCell ref="L45:L50"/>
    <mergeCell ref="J46:K46"/>
    <mergeCell ref="F54:H54"/>
    <mergeCell ref="J54:K54"/>
    <mergeCell ref="F50:H50"/>
    <mergeCell ref="J50:K50"/>
    <mergeCell ref="F51:H51"/>
    <mergeCell ref="J51:K51"/>
    <mergeCell ref="L51:L54"/>
    <mergeCell ref="F52:H52"/>
    <mergeCell ref="F53:H53"/>
    <mergeCell ref="J56:K56"/>
    <mergeCell ref="J57:K57"/>
    <mergeCell ref="J52:K52"/>
    <mergeCell ref="J53:K53"/>
    <mergeCell ref="F55:H55"/>
    <mergeCell ref="J55:K55"/>
    <mergeCell ref="L55:L57"/>
    <mergeCell ref="F56:H56"/>
    <mergeCell ref="F57:H57"/>
    <mergeCell ref="F59:H59"/>
    <mergeCell ref="F62:H62"/>
    <mergeCell ref="J62:K62"/>
    <mergeCell ref="F63:H63"/>
    <mergeCell ref="J63:K63"/>
    <mergeCell ref="F64:H64"/>
    <mergeCell ref="J64:K64"/>
    <mergeCell ref="F58:H58"/>
    <mergeCell ref="J58:K58"/>
    <mergeCell ref="L58:L59"/>
    <mergeCell ref="J59:K59"/>
    <mergeCell ref="J60:K60"/>
    <mergeCell ref="L60:L64"/>
    <mergeCell ref="J61:K61"/>
    <mergeCell ref="J66:K66"/>
    <mergeCell ref="J67:K67"/>
    <mergeCell ref="F68:H68"/>
    <mergeCell ref="J68:K68"/>
    <mergeCell ref="F60:H60"/>
    <mergeCell ref="F61:H61"/>
    <mergeCell ref="F65:H65"/>
    <mergeCell ref="J65:K65"/>
    <mergeCell ref="L65:L68"/>
    <mergeCell ref="F66:H66"/>
    <mergeCell ref="F67:H67"/>
    <mergeCell ref="F69:H69"/>
    <mergeCell ref="F70:H70"/>
    <mergeCell ref="B60:D64"/>
    <mergeCell ref="B65:D68"/>
    <mergeCell ref="E65:E68"/>
    <mergeCell ref="E69:E70"/>
    <mergeCell ref="J69:K69"/>
    <mergeCell ref="L69:L70"/>
    <mergeCell ref="J70:K70"/>
    <mergeCell ref="B2:F2"/>
    <mergeCell ref="H2:H3"/>
    <mergeCell ref="I2:I3"/>
    <mergeCell ref="L2:M2"/>
    <mergeCell ref="L15:M15"/>
    <mergeCell ref="L24:M24"/>
    <mergeCell ref="L33:M33"/>
    <mergeCell ref="J44:K44"/>
    <mergeCell ref="J45:K45"/>
    <mergeCell ref="F45:H45"/>
    <mergeCell ref="F46:H46"/>
    <mergeCell ref="F44:H44"/>
    <mergeCell ref="F47:H47"/>
    <mergeCell ref="F49:H49"/>
    <mergeCell ref="J49:K49"/>
    <mergeCell ref="B51:D54"/>
    <mergeCell ref="E51:E54"/>
    <mergeCell ref="B55:D57"/>
    <mergeCell ref="E55:E57"/>
    <mergeCell ref="B58:D59"/>
    <mergeCell ref="E58:E59"/>
    <mergeCell ref="E60:E64"/>
    <mergeCell ref="J72:K72"/>
    <mergeCell ref="J74:K74"/>
    <mergeCell ref="J75:K75"/>
    <mergeCell ref="J76:K76"/>
    <mergeCell ref="J77:K77"/>
    <mergeCell ref="J80:K80"/>
    <mergeCell ref="B69:D70"/>
    <mergeCell ref="B71:D72"/>
    <mergeCell ref="E71:E72"/>
    <mergeCell ref="F71:H71"/>
    <mergeCell ref="J71:K71"/>
    <mergeCell ref="L71:L72"/>
    <mergeCell ref="F72:H72"/>
  </mergeCells>
  <conditionalFormatting sqref="J45:K72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I4:I35 B4:B39 P3:P1000">
      <formula1>OR(NOT(ISERROR(DATEVALUE(B3))), AND(ISNUMBER(B3), LEFT(CELL("format", B3))="D"))</formula1>
    </dataValidation>
  </dataValidation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3.5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52753</v>
      </c>
      <c r="L2" s="84" t="s">
        <v>34</v>
      </c>
      <c r="M2" s="86"/>
      <c r="N2" s="400">
        <f>M4+M5+M8+M9+M12</f>
        <v>10721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  <c r="W2" s="3" t="s">
        <v>261</v>
      </c>
      <c r="X2" s="86"/>
      <c r="Y2" s="81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46049.0</v>
      </c>
      <c r="Q3" s="132" t="s">
        <v>119</v>
      </c>
      <c r="R3" s="132" t="s">
        <v>142</v>
      </c>
      <c r="S3" s="132" t="s">
        <v>51</v>
      </c>
      <c r="T3" s="132">
        <v>20.0</v>
      </c>
      <c r="U3" s="109"/>
      <c r="V3" s="136"/>
      <c r="W3" s="510" t="s">
        <v>6</v>
      </c>
      <c r="X3" s="511" t="s">
        <v>262</v>
      </c>
      <c r="Y3" s="93"/>
    </row>
    <row r="4">
      <c r="B4" s="317">
        <v>46048.0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Monday</v>
      </c>
      <c r="I4" s="319">
        <v>46048.0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6540</v>
      </c>
      <c r="N4" s="322">
        <f>'Jan 26'!M4</f>
        <v>670</v>
      </c>
      <c r="P4" s="404">
        <v>46049.0</v>
      </c>
      <c r="Q4" s="132" t="s">
        <v>119</v>
      </c>
      <c r="R4" s="132" t="s">
        <v>142</v>
      </c>
      <c r="S4" s="132" t="s">
        <v>120</v>
      </c>
      <c r="T4" s="132">
        <v>300.0</v>
      </c>
      <c r="U4" s="109"/>
      <c r="V4" s="136"/>
      <c r="W4" s="512">
        <v>46099.0</v>
      </c>
      <c r="X4" s="36" t="s">
        <v>263</v>
      </c>
      <c r="Y4" s="439"/>
    </row>
    <row r="5">
      <c r="B5" s="317">
        <v>46049.0</v>
      </c>
      <c r="C5" s="108"/>
      <c r="D5" s="142">
        <v>30000.0</v>
      </c>
      <c r="E5" s="108" t="s">
        <v>120</v>
      </c>
      <c r="F5" s="174" t="s">
        <v>136</v>
      </c>
      <c r="H5" s="318" t="str">
        <f t="shared" si="1"/>
        <v>Tuesday</v>
      </c>
      <c r="I5" s="319">
        <v>46049.0</v>
      </c>
      <c r="J5" s="170">
        <f t="array" ref="J5">sum(IF(($P$3:$P$100=I5), $T$3:$T$100, 0))</f>
        <v>335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7</v>
      </c>
      <c r="N5" s="326">
        <f>'Jan 26'!M5</f>
        <v>377</v>
      </c>
      <c r="P5" s="404">
        <v>46049.0</v>
      </c>
      <c r="Q5" s="132" t="s">
        <v>131</v>
      </c>
      <c r="R5" s="132" t="s">
        <v>148</v>
      </c>
      <c r="S5" s="132" t="s">
        <v>51</v>
      </c>
      <c r="T5" s="132">
        <v>15.0</v>
      </c>
      <c r="U5" s="109"/>
      <c r="V5" s="136"/>
      <c r="W5" s="513">
        <v>46107.0</v>
      </c>
      <c r="X5" s="514" t="s">
        <v>264</v>
      </c>
      <c r="Y5" s="433"/>
    </row>
    <row r="6">
      <c r="B6" s="317">
        <v>46049.0</v>
      </c>
      <c r="C6" s="108"/>
      <c r="D6" s="142">
        <v>20000.0</v>
      </c>
      <c r="E6" s="108" t="s">
        <v>136</v>
      </c>
      <c r="F6" s="174" t="s">
        <v>51</v>
      </c>
      <c r="H6" s="318" t="str">
        <f t="shared" si="1"/>
        <v>Wednesday</v>
      </c>
      <c r="I6" s="319">
        <v>46050.0</v>
      </c>
      <c r="J6" s="170">
        <f t="array" ref="J6">sum(IF(($P$3:$P$100=I6), $T$3:$T$100, 0))</f>
        <v>21219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9</v>
      </c>
      <c r="N6" s="326">
        <f>'Jan 26'!M6</f>
        <v>1711</v>
      </c>
      <c r="P6" s="404">
        <v>46050.0</v>
      </c>
      <c r="Q6" s="132" t="s">
        <v>127</v>
      </c>
      <c r="R6" s="132" t="s">
        <v>147</v>
      </c>
      <c r="S6" s="132" t="s">
        <v>12</v>
      </c>
      <c r="T6" s="132">
        <f>50+259</f>
        <v>309</v>
      </c>
      <c r="U6" s="109"/>
      <c r="V6" s="136"/>
      <c r="W6" s="515"/>
      <c r="X6" s="43"/>
      <c r="Y6" s="439"/>
    </row>
    <row r="7">
      <c r="B7" s="317">
        <v>46050.0</v>
      </c>
      <c r="C7" s="142"/>
      <c r="D7" s="142">
        <v>1000.0</v>
      </c>
      <c r="E7" s="108" t="s">
        <v>136</v>
      </c>
      <c r="F7" s="174" t="s">
        <v>12</v>
      </c>
      <c r="H7" s="318" t="str">
        <f t="shared" si="1"/>
        <v>Thursday</v>
      </c>
      <c r="I7" s="319">
        <v>46051.0</v>
      </c>
      <c r="J7" s="170">
        <f t="array" ref="J7">sum(IF(($P$3:$P$100=I7), $T$3:$T$100, 0))</f>
        <v>5620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'Jan 26'!M7</f>
        <v>285</v>
      </c>
      <c r="P7" s="404">
        <v>46050.0</v>
      </c>
      <c r="Q7" s="132" t="s">
        <v>114</v>
      </c>
      <c r="R7" s="132" t="s">
        <v>118</v>
      </c>
      <c r="S7" s="132" t="s">
        <v>136</v>
      </c>
      <c r="T7" s="132">
        <v>500.0</v>
      </c>
      <c r="U7" s="109"/>
      <c r="V7" s="136"/>
      <c r="W7" s="516"/>
      <c r="X7" s="517"/>
      <c r="Y7" s="433"/>
    </row>
    <row r="8">
      <c r="B8" s="317">
        <v>46051.0</v>
      </c>
      <c r="C8" s="108"/>
      <c r="D8" s="142">
        <v>5000.0</v>
      </c>
      <c r="E8" s="108" t="s">
        <v>136</v>
      </c>
      <c r="F8" s="174" t="s">
        <v>51</v>
      </c>
      <c r="H8" s="318" t="str">
        <f t="shared" si="1"/>
        <v>Friday</v>
      </c>
      <c r="I8" s="319">
        <v>46052.0</v>
      </c>
      <c r="J8" s="170">
        <f t="array" ref="J8">sum(IF(($P$3:$P$100=I8), $T$3:$T$100, 0))</f>
        <v>10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66</v>
      </c>
      <c r="N8" s="326">
        <f>'Jan 26'!M8</f>
        <v>136</v>
      </c>
      <c r="P8" s="404">
        <v>46050.0</v>
      </c>
      <c r="Q8" s="132" t="s">
        <v>119</v>
      </c>
      <c r="R8" s="132" t="s">
        <v>138</v>
      </c>
      <c r="S8" s="132" t="s">
        <v>51</v>
      </c>
      <c r="T8" s="132">
        <f>240+150+20</f>
        <v>410</v>
      </c>
      <c r="U8" s="109" t="s">
        <v>265</v>
      </c>
      <c r="V8" s="136"/>
      <c r="W8" s="515"/>
      <c r="X8" s="43"/>
      <c r="Y8" s="439"/>
    </row>
    <row r="9">
      <c r="B9" s="317">
        <v>46059.0</v>
      </c>
      <c r="C9" s="108">
        <v>15.0</v>
      </c>
      <c r="D9" s="108">
        <v>10000.0</v>
      </c>
      <c r="E9" s="108" t="s">
        <v>120</v>
      </c>
      <c r="F9" s="174" t="s">
        <v>51</v>
      </c>
      <c r="H9" s="318" t="str">
        <f t="shared" si="1"/>
        <v>Saturday</v>
      </c>
      <c r="I9" s="319">
        <v>46053.0</v>
      </c>
      <c r="J9" s="170">
        <f t="array" ref="J9">sum(IF(($P$3:$P$100=I9), $T$3:$T$100, 0))</f>
        <v>1590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'Jan 26'!M9</f>
        <v>2</v>
      </c>
      <c r="P9" s="404">
        <v>46050.0</v>
      </c>
      <c r="Q9" s="132" t="s">
        <v>114</v>
      </c>
      <c r="R9" s="132" t="s">
        <v>115</v>
      </c>
      <c r="S9" s="132" t="s">
        <v>51</v>
      </c>
      <c r="T9" s="132">
        <v>13000.0</v>
      </c>
      <c r="U9" s="109"/>
      <c r="V9" s="136"/>
      <c r="W9" s="516"/>
      <c r="X9" s="517"/>
      <c r="Y9" s="433"/>
    </row>
    <row r="10">
      <c r="B10" s="317">
        <v>46069.0</v>
      </c>
      <c r="C10" s="142"/>
      <c r="D10" s="142">
        <v>1500.0</v>
      </c>
      <c r="E10" s="108" t="s">
        <v>136</v>
      </c>
      <c r="F10" s="174" t="s">
        <v>51</v>
      </c>
      <c r="H10" s="318" t="str">
        <f t="shared" si="1"/>
        <v>Sunday</v>
      </c>
      <c r="I10" s="319">
        <v>46054.0</v>
      </c>
      <c r="J10" s="170">
        <f t="array" ref="J10">sum(IF(($P$3:$P$100=I10), $T$3:$T$100, 0))</f>
        <v>485</v>
      </c>
      <c r="L10" s="333" t="s">
        <v>137</v>
      </c>
      <c r="M10" s="374">
        <f>N10-10000</f>
        <v>30000</v>
      </c>
      <c r="N10" s="326">
        <f>'Jan 26'!M10</f>
        <v>40000</v>
      </c>
      <c r="P10" s="404">
        <v>46050.0</v>
      </c>
      <c r="Q10" s="132" t="s">
        <v>114</v>
      </c>
      <c r="R10" s="132" t="s">
        <v>126</v>
      </c>
      <c r="S10" s="132" t="s">
        <v>51</v>
      </c>
      <c r="T10" s="132">
        <v>1080.0</v>
      </c>
      <c r="U10" s="109"/>
      <c r="V10" s="136"/>
      <c r="W10" s="515"/>
      <c r="X10" s="43"/>
      <c r="Y10" s="439"/>
    </row>
    <row r="11">
      <c r="B11" s="317">
        <v>46071.0</v>
      </c>
      <c r="C11" s="108">
        <v>12.0</v>
      </c>
      <c r="D11" s="142">
        <v>500.0</v>
      </c>
      <c r="E11" s="108" t="s">
        <v>124</v>
      </c>
      <c r="F11" s="174" t="s">
        <v>12</v>
      </c>
      <c r="H11" s="318" t="str">
        <f t="shared" si="1"/>
        <v>Monday</v>
      </c>
      <c r="I11" s="319">
        <v>46055.0</v>
      </c>
      <c r="J11" s="170">
        <f t="array" ref="J11">sum(IF(($P$3:$P$100=I11), $T$3:$T$100, 0))</f>
        <v>2630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7550</v>
      </c>
      <c r="N11" s="326">
        <f>'Jan 26'!M11</f>
        <v>7550</v>
      </c>
      <c r="P11" s="404">
        <v>46050.0</v>
      </c>
      <c r="Q11" s="132" t="s">
        <v>114</v>
      </c>
      <c r="R11" s="132" t="s">
        <v>133</v>
      </c>
      <c r="S11" s="132" t="s">
        <v>51</v>
      </c>
      <c r="T11" s="132">
        <v>800.0</v>
      </c>
      <c r="U11" s="109"/>
      <c r="V11" s="136"/>
      <c r="W11" s="516"/>
      <c r="X11" s="517"/>
      <c r="Y11" s="433"/>
    </row>
    <row r="12">
      <c r="B12" s="317">
        <v>46072.0</v>
      </c>
      <c r="C12" s="108">
        <v>10.0</v>
      </c>
      <c r="D12" s="142">
        <v>1180.0</v>
      </c>
      <c r="E12" s="108" t="s">
        <v>124</v>
      </c>
      <c r="F12" s="174" t="s">
        <v>136</v>
      </c>
      <c r="H12" s="318" t="str">
        <f t="shared" si="1"/>
        <v>Tuesday</v>
      </c>
      <c r="I12" s="319">
        <v>46056.0</v>
      </c>
      <c r="J12" s="170">
        <f t="array" ref="J12">sum(IF(($P$3:$P$100=I12), $T$3:$T$100, 0))</f>
        <v>2685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4106</v>
      </c>
      <c r="N12" s="326">
        <f>'Jan 26'!M12</f>
        <v>1124</v>
      </c>
      <c r="P12" s="404">
        <v>46050.0</v>
      </c>
      <c r="Q12" s="132" t="s">
        <v>119</v>
      </c>
      <c r="R12" s="132" t="s">
        <v>141</v>
      </c>
      <c r="S12" s="132" t="s">
        <v>51</v>
      </c>
      <c r="T12" s="132">
        <f>5000+120</f>
        <v>5120</v>
      </c>
      <c r="U12" s="109"/>
      <c r="V12" s="136"/>
      <c r="W12" s="515"/>
      <c r="X12" s="43"/>
      <c r="Y12" s="439"/>
    </row>
    <row r="13">
      <c r="B13" s="317">
        <v>46072.0</v>
      </c>
      <c r="C13" s="108"/>
      <c r="D13" s="142">
        <v>200.0</v>
      </c>
      <c r="E13" s="108" t="s">
        <v>136</v>
      </c>
      <c r="F13" s="174" t="s">
        <v>12</v>
      </c>
      <c r="H13" s="318" t="str">
        <f t="shared" si="1"/>
        <v>Wednesday</v>
      </c>
      <c r="I13" s="319">
        <v>46057.0</v>
      </c>
      <c r="J13" s="170">
        <f t="array" ref="J13">sum(IF(($P$3:$P$100=I13), $T$3:$T$100, 0))</f>
        <v>0</v>
      </c>
      <c r="L13" s="338"/>
      <c r="M13" s="339"/>
      <c r="N13" s="480" t="str">
        <f>'Jan 26'!M13</f>
        <v/>
      </c>
      <c r="P13" s="404">
        <v>46051.0</v>
      </c>
      <c r="Q13" s="132" t="s">
        <v>123</v>
      </c>
      <c r="R13" s="132" t="s">
        <v>145</v>
      </c>
      <c r="S13" s="132" t="s">
        <v>120</v>
      </c>
      <c r="T13" s="132">
        <v>2600.0</v>
      </c>
      <c r="U13" s="109" t="s">
        <v>266</v>
      </c>
      <c r="V13" s="136"/>
      <c r="W13" s="516"/>
      <c r="X13" s="517"/>
      <c r="Y13" s="433"/>
    </row>
    <row r="14">
      <c r="B14" s="317">
        <v>46074.0</v>
      </c>
      <c r="C14" s="108"/>
      <c r="D14" s="142">
        <v>2990.0</v>
      </c>
      <c r="E14" s="108" t="s">
        <v>120</v>
      </c>
      <c r="F14" s="174" t="s">
        <v>136</v>
      </c>
      <c r="H14" s="318" t="str">
        <f t="shared" si="1"/>
        <v>Thursday</v>
      </c>
      <c r="I14" s="319">
        <v>46058.0</v>
      </c>
      <c r="J14" s="170">
        <f t="array" ref="J14">sum(IF(($P$3:$P$100=I14), $T$3:$T$100, 0))</f>
        <v>0</v>
      </c>
      <c r="P14" s="404">
        <v>46051.0</v>
      </c>
      <c r="Q14" s="132" t="s">
        <v>123</v>
      </c>
      <c r="R14" s="132" t="s">
        <v>145</v>
      </c>
      <c r="S14" s="132" t="s">
        <v>51</v>
      </c>
      <c r="T14" s="132">
        <v>320.0</v>
      </c>
      <c r="U14" s="109" t="s">
        <v>267</v>
      </c>
      <c r="V14" s="136"/>
      <c r="W14" s="515"/>
      <c r="X14" s="43"/>
      <c r="Y14" s="439"/>
    </row>
    <row r="15">
      <c r="B15" s="317">
        <v>46074.0</v>
      </c>
      <c r="C15" s="108"/>
      <c r="D15" s="142">
        <v>10000.0</v>
      </c>
      <c r="E15" s="108" t="s">
        <v>143</v>
      </c>
      <c r="F15" s="174" t="s">
        <v>51</v>
      </c>
      <c r="H15" s="318" t="str">
        <f t="shared" si="1"/>
        <v>Friday</v>
      </c>
      <c r="I15" s="319">
        <v>46059.0</v>
      </c>
      <c r="J15" s="170">
        <f t="array" ref="J15">sum(IF(($P$3:$P$100=I15), $T$3:$T$100, 0))</f>
        <v>3530</v>
      </c>
      <c r="L15" s="137" t="s">
        <v>72</v>
      </c>
      <c r="M15" s="86"/>
      <c r="N15" s="518">
        <f>sum(M17:M22)</f>
        <v>7550</v>
      </c>
      <c r="P15" s="404">
        <v>46051.0</v>
      </c>
      <c r="Q15" s="132" t="s">
        <v>119</v>
      </c>
      <c r="R15" s="132" t="s">
        <v>142</v>
      </c>
      <c r="S15" s="132" t="s">
        <v>120</v>
      </c>
      <c r="T15" s="132">
        <v>225.0</v>
      </c>
      <c r="U15" s="109" t="s">
        <v>268</v>
      </c>
      <c r="V15" s="136"/>
      <c r="W15" s="516"/>
      <c r="X15" s="517"/>
      <c r="Y15" s="433"/>
    </row>
    <row r="16">
      <c r="B16" s="317"/>
      <c r="C16" s="142"/>
      <c r="D16" s="142"/>
      <c r="E16" s="108"/>
      <c r="F16" s="174"/>
      <c r="H16" s="318" t="str">
        <f t="shared" si="1"/>
        <v>Saturday</v>
      </c>
      <c r="I16" s="319">
        <v>46060.0</v>
      </c>
      <c r="J16" s="170">
        <f t="array" ref="J16">sum(IF(($P$3:$P$100=I16), $T$3:$T$100, 0))</f>
        <v>2230</v>
      </c>
      <c r="L16" s="139" t="s">
        <v>6</v>
      </c>
      <c r="M16" s="140" t="s">
        <v>35</v>
      </c>
      <c r="N16" s="141" t="s">
        <v>74</v>
      </c>
      <c r="P16" s="404">
        <v>46052.0</v>
      </c>
      <c r="Q16" s="132" t="s">
        <v>26</v>
      </c>
      <c r="R16" s="132" t="s">
        <v>26</v>
      </c>
      <c r="S16" s="132" t="s">
        <v>51</v>
      </c>
      <c r="T16" s="132">
        <v>10.0</v>
      </c>
      <c r="U16" s="109"/>
      <c r="V16" s="136"/>
      <c r="W16" s="515"/>
      <c r="X16" s="43"/>
      <c r="Y16" s="439"/>
    </row>
    <row r="17">
      <c r="B17" s="317"/>
      <c r="C17" s="108"/>
      <c r="D17" s="108"/>
      <c r="E17" s="108"/>
      <c r="F17" s="174"/>
      <c r="H17" s="318" t="str">
        <f t="shared" si="1"/>
        <v>Sunday</v>
      </c>
      <c r="I17" s="319">
        <v>46061.0</v>
      </c>
      <c r="J17" s="170">
        <f t="array" ref="J17">sum(IF(($P$3:$P$100=I17), $T$3:$T$100, 0))</f>
        <v>1690</v>
      </c>
      <c r="L17" s="143">
        <v>45774.0</v>
      </c>
      <c r="M17" s="132">
        <v>2500.0</v>
      </c>
      <c r="N17" s="103" t="s">
        <v>185</v>
      </c>
      <c r="P17" s="519">
        <v>46052.0</v>
      </c>
      <c r="Q17" s="520" t="s">
        <v>26</v>
      </c>
      <c r="R17" s="520" t="s">
        <v>151</v>
      </c>
      <c r="S17" s="520" t="s">
        <v>51</v>
      </c>
      <c r="T17" s="520">
        <v>0.0</v>
      </c>
      <c r="U17" s="521"/>
      <c r="V17" s="136"/>
      <c r="W17" s="516"/>
      <c r="X17" s="517"/>
      <c r="Y17" s="433"/>
    </row>
    <row r="18">
      <c r="B18" s="317"/>
      <c r="C18" s="108"/>
      <c r="D18" s="108"/>
      <c r="E18" s="108"/>
      <c r="F18" s="174"/>
      <c r="H18" s="318" t="str">
        <f t="shared" si="1"/>
        <v>Monday</v>
      </c>
      <c r="I18" s="319">
        <v>46062.0</v>
      </c>
      <c r="J18" s="170">
        <f t="array" ref="J18">sum(IF(($P$3:$P$100=I18), $T$3:$T$100, 0))</f>
        <v>30</v>
      </c>
      <c r="L18" s="143"/>
      <c r="M18" s="132">
        <v>3000.0</v>
      </c>
      <c r="N18" s="103" t="s">
        <v>187</v>
      </c>
      <c r="P18" s="404">
        <v>46051.0</v>
      </c>
      <c r="Q18" s="132" t="s">
        <v>131</v>
      </c>
      <c r="R18" s="132" t="s">
        <v>149</v>
      </c>
      <c r="S18" s="132" t="s">
        <v>136</v>
      </c>
      <c r="T18" s="132">
        <v>2475.0</v>
      </c>
      <c r="U18" s="109"/>
      <c r="V18" s="136"/>
      <c r="W18" s="515"/>
      <c r="X18" s="43"/>
      <c r="Y18" s="439"/>
    </row>
    <row r="19">
      <c r="B19" s="317"/>
      <c r="C19" s="112"/>
      <c r="D19" s="108"/>
      <c r="E19" s="108"/>
      <c r="F19" s="174"/>
      <c r="H19" s="318" t="str">
        <f t="shared" si="1"/>
        <v>Tuesday</v>
      </c>
      <c r="I19" s="319">
        <v>46063.0</v>
      </c>
      <c r="J19" s="170">
        <f t="array" ref="J19">sum(IF(($P$3:$P$100=I19), $T$3:$T$100, 0))</f>
        <v>930</v>
      </c>
      <c r="L19" s="148">
        <v>45979.0</v>
      </c>
      <c r="M19" s="132">
        <v>2050.0</v>
      </c>
      <c r="N19" s="103" t="s">
        <v>239</v>
      </c>
      <c r="P19" s="404">
        <v>46053.0</v>
      </c>
      <c r="Q19" s="132" t="s">
        <v>123</v>
      </c>
      <c r="R19" s="132" t="s">
        <v>145</v>
      </c>
      <c r="S19" s="132" t="s">
        <v>51</v>
      </c>
      <c r="T19" s="132">
        <f>1000+590</f>
        <v>1590</v>
      </c>
      <c r="U19" s="109" t="s">
        <v>269</v>
      </c>
      <c r="V19" s="136"/>
      <c r="W19" s="516"/>
      <c r="X19" s="517"/>
      <c r="Y19" s="433"/>
    </row>
    <row r="20">
      <c r="B20" s="317"/>
      <c r="C20" s="142"/>
      <c r="D20" s="142"/>
      <c r="E20" s="108"/>
      <c r="F20" s="174"/>
      <c r="H20" s="318" t="str">
        <f t="shared" si="1"/>
        <v>Wednesday</v>
      </c>
      <c r="I20" s="319">
        <v>46064.0</v>
      </c>
      <c r="J20" s="170">
        <f t="array" ref="J20">sum(IF(($P$3:$P$100=I20), $T$3:$T$100, 0))</f>
        <v>180</v>
      </c>
      <c r="L20" s="148"/>
      <c r="M20" s="132"/>
      <c r="N20" s="185"/>
      <c r="P20" s="404">
        <v>46054.0</v>
      </c>
      <c r="Q20" s="132" t="s">
        <v>123</v>
      </c>
      <c r="R20" s="132" t="s">
        <v>144</v>
      </c>
      <c r="S20" s="132" t="s">
        <v>120</v>
      </c>
      <c r="T20" s="132">
        <v>220.0</v>
      </c>
      <c r="U20" s="109" t="s">
        <v>270</v>
      </c>
      <c r="V20" s="136"/>
      <c r="W20" s="515"/>
      <c r="X20" s="43"/>
      <c r="Y20" s="439"/>
    </row>
    <row r="21">
      <c r="B21" s="317"/>
      <c r="C21" s="108"/>
      <c r="D21" s="108"/>
      <c r="E21" s="108"/>
      <c r="F21" s="174"/>
      <c r="H21" s="318" t="str">
        <f t="shared" si="1"/>
        <v>Thursday</v>
      </c>
      <c r="I21" s="319">
        <v>46065.0</v>
      </c>
      <c r="J21" s="170">
        <f t="array" ref="J21">sum(IF(($P$3:$P$100=I21), $T$3:$T$100, 0))</f>
        <v>0</v>
      </c>
      <c r="L21" s="112"/>
      <c r="M21" s="102"/>
      <c r="N21" s="48"/>
      <c r="P21" s="404">
        <v>46054.0</v>
      </c>
      <c r="Q21" s="132" t="s">
        <v>119</v>
      </c>
      <c r="R21" s="132" t="s">
        <v>138</v>
      </c>
      <c r="S21" s="132" t="s">
        <v>51</v>
      </c>
      <c r="T21" s="132">
        <v>250.0</v>
      </c>
      <c r="U21" s="109" t="s">
        <v>271</v>
      </c>
      <c r="V21" s="136"/>
      <c r="W21" s="516"/>
      <c r="X21" s="517"/>
      <c r="Y21" s="433"/>
    </row>
    <row r="22">
      <c r="B22" s="317"/>
      <c r="C22" s="112"/>
      <c r="D22" s="108"/>
      <c r="E22" s="108"/>
      <c r="F22" s="174"/>
      <c r="H22" s="318" t="str">
        <f t="shared" si="1"/>
        <v>Friday</v>
      </c>
      <c r="I22" s="319">
        <v>46066.0</v>
      </c>
      <c r="J22" s="170">
        <f t="array" ref="J22">sum(IF(($P$3:$P$100=I22), $T$3:$T$100, 0))</f>
        <v>100</v>
      </c>
      <c r="L22" s="127"/>
      <c r="M22" s="133"/>
      <c r="N22" s="68"/>
      <c r="P22" s="404">
        <v>46054.0</v>
      </c>
      <c r="Q22" s="132" t="s">
        <v>131</v>
      </c>
      <c r="R22" s="132" t="s">
        <v>148</v>
      </c>
      <c r="S22" s="132" t="s">
        <v>51</v>
      </c>
      <c r="T22" s="132">
        <v>15.0</v>
      </c>
      <c r="U22" s="109"/>
      <c r="V22" s="136"/>
      <c r="W22" s="515"/>
      <c r="X22" s="43"/>
      <c r="Y22" s="439"/>
    </row>
    <row r="23">
      <c r="B23" s="317"/>
      <c r="C23" s="108"/>
      <c r="D23" s="108"/>
      <c r="E23" s="108"/>
      <c r="F23" s="174"/>
      <c r="H23" s="318" t="str">
        <f t="shared" si="1"/>
        <v>Saturday</v>
      </c>
      <c r="I23" s="319">
        <v>46067.0</v>
      </c>
      <c r="J23" s="170">
        <f t="array" ref="J23">sum(IF(($P$3:$P$100=I23), $T$3:$T$100, 0))</f>
        <v>450</v>
      </c>
      <c r="P23" s="404">
        <v>46055.0</v>
      </c>
      <c r="Q23" s="132" t="s">
        <v>119</v>
      </c>
      <c r="R23" s="132" t="s">
        <v>138</v>
      </c>
      <c r="S23" s="132" t="s">
        <v>51</v>
      </c>
      <c r="T23" s="132">
        <v>110.0</v>
      </c>
      <c r="U23" s="109" t="s">
        <v>272</v>
      </c>
      <c r="V23" s="136"/>
      <c r="W23" s="522"/>
      <c r="X23" s="523"/>
      <c r="Y23" s="444"/>
    </row>
    <row r="24">
      <c r="B24" s="317"/>
      <c r="C24" s="108"/>
      <c r="D24" s="108"/>
      <c r="E24" s="108"/>
      <c r="F24" s="174"/>
      <c r="H24" s="318" t="str">
        <f t="shared" si="1"/>
        <v>Sunday</v>
      </c>
      <c r="I24" s="319">
        <v>46068.0</v>
      </c>
      <c r="J24" s="170">
        <f t="array" ref="J24">sum(IF(($P$3:$P$100=I24), $T$3:$T$100, 0))</f>
        <v>320</v>
      </c>
      <c r="L24" s="137" t="s">
        <v>84</v>
      </c>
      <c r="M24" s="86"/>
      <c r="N24" s="524">
        <f>sum(N26:N31)</f>
        <v>10000</v>
      </c>
      <c r="P24" s="404">
        <v>46055.0</v>
      </c>
      <c r="Q24" s="132" t="s">
        <v>26</v>
      </c>
      <c r="R24" s="132" t="s">
        <v>26</v>
      </c>
      <c r="S24" s="132" t="s">
        <v>51</v>
      </c>
      <c r="T24" s="132">
        <v>20.0</v>
      </c>
      <c r="U24" s="109"/>
      <c r="V24" s="136"/>
      <c r="W24" s="525"/>
      <c r="X24" s="525"/>
    </row>
    <row r="25">
      <c r="B25" s="317"/>
      <c r="C25" s="112"/>
      <c r="D25" s="112"/>
      <c r="E25" s="108"/>
      <c r="F25" s="174"/>
      <c r="H25" s="318" t="str">
        <f t="shared" si="1"/>
        <v>Monday</v>
      </c>
      <c r="I25" s="319">
        <v>46069.0</v>
      </c>
      <c r="J25" s="170">
        <f t="array" ref="J25">sum(IF(($P$3:$P$100=I25), $T$3:$T$100, 0))</f>
        <v>1000</v>
      </c>
      <c r="L25" s="139" t="s">
        <v>6</v>
      </c>
      <c r="M25" s="140" t="s">
        <v>85</v>
      </c>
      <c r="N25" s="141" t="s">
        <v>35</v>
      </c>
      <c r="P25" s="404">
        <v>46055.0</v>
      </c>
      <c r="Q25" s="132" t="s">
        <v>134</v>
      </c>
      <c r="R25" s="132" t="s">
        <v>116</v>
      </c>
      <c r="S25" s="132" t="s">
        <v>120</v>
      </c>
      <c r="T25" s="132">
        <v>2500.0</v>
      </c>
      <c r="U25" s="109"/>
      <c r="V25" s="136"/>
    </row>
    <row r="26">
      <c r="B26" s="317"/>
      <c r="C26" s="112"/>
      <c r="D26" s="112"/>
      <c r="E26" s="108"/>
      <c r="F26" s="174"/>
      <c r="H26" s="318" t="str">
        <f t="shared" si="1"/>
        <v>Tuesday</v>
      </c>
      <c r="I26" s="319">
        <v>46070.0</v>
      </c>
      <c r="J26" s="170">
        <f t="array" ref="J26">sum(IF(($P$3:$P$100=I26), $T$3:$T$100, 0))</f>
        <v>2460</v>
      </c>
      <c r="L26" s="526">
        <v>46075.0</v>
      </c>
      <c r="M26" s="42" t="s">
        <v>273</v>
      </c>
      <c r="N26" s="185">
        <v>10000.0</v>
      </c>
      <c r="P26" s="404">
        <v>46056.0</v>
      </c>
      <c r="Q26" s="132" t="s">
        <v>119</v>
      </c>
      <c r="R26" s="132" t="s">
        <v>135</v>
      </c>
      <c r="S26" s="132" t="s">
        <v>51</v>
      </c>
      <c r="T26" s="132">
        <v>2000.0</v>
      </c>
      <c r="U26" s="109" t="s">
        <v>274</v>
      </c>
      <c r="V26" s="136"/>
    </row>
    <row r="27">
      <c r="B27" s="317"/>
      <c r="C27" s="112"/>
      <c r="D27" s="112"/>
      <c r="E27" s="108"/>
      <c r="F27" s="174"/>
      <c r="H27" s="318" t="str">
        <f t="shared" si="1"/>
        <v>Wednesday</v>
      </c>
      <c r="I27" s="319">
        <v>46071.0</v>
      </c>
      <c r="J27" s="170">
        <f t="array" ref="J27">sum(IF(($P$3:$P$100=I27), $T$3:$T$100, 0))</f>
        <v>965</v>
      </c>
      <c r="L27" s="152"/>
      <c r="M27" s="47"/>
      <c r="N27" s="48"/>
      <c r="P27" s="404">
        <v>46056.0</v>
      </c>
      <c r="Q27" s="132" t="s">
        <v>123</v>
      </c>
      <c r="R27" s="132" t="s">
        <v>144</v>
      </c>
      <c r="S27" s="132" t="s">
        <v>120</v>
      </c>
      <c r="T27" s="132">
        <v>100.0</v>
      </c>
      <c r="U27" s="109" t="s">
        <v>275</v>
      </c>
      <c r="V27" s="136"/>
    </row>
    <row r="28">
      <c r="B28" s="317"/>
      <c r="C28" s="112"/>
      <c r="D28" s="112"/>
      <c r="E28" s="108"/>
      <c r="F28" s="174"/>
      <c r="H28" s="318" t="str">
        <f t="shared" si="1"/>
        <v>Thursday</v>
      </c>
      <c r="I28" s="319">
        <v>46072.0</v>
      </c>
      <c r="J28" s="170">
        <f t="array" ref="J28">sum(IF(($P$3:$P$100=I28), $T$3:$T$100, 0))</f>
        <v>641</v>
      </c>
      <c r="L28" s="152"/>
      <c r="M28" s="47"/>
      <c r="N28" s="48"/>
      <c r="P28" s="404">
        <v>46056.0</v>
      </c>
      <c r="Q28" s="132" t="s">
        <v>119</v>
      </c>
      <c r="R28" s="132" t="s">
        <v>142</v>
      </c>
      <c r="S28" s="132" t="s">
        <v>120</v>
      </c>
      <c r="T28" s="132">
        <v>20.0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Friday</v>
      </c>
      <c r="I29" s="319">
        <v>46073.0</v>
      </c>
      <c r="J29" s="170">
        <f t="array" ref="J29">sum(IF(($P$3:$P$100=I29), $T$3:$T$100, 0))</f>
        <v>100</v>
      </c>
      <c r="L29" s="152"/>
      <c r="M29" s="47"/>
      <c r="N29" s="48"/>
      <c r="P29" s="404">
        <v>46056.0</v>
      </c>
      <c r="Q29" s="132" t="s">
        <v>123</v>
      </c>
      <c r="R29" s="132" t="s">
        <v>145</v>
      </c>
      <c r="S29" s="132" t="s">
        <v>51</v>
      </c>
      <c r="T29" s="132">
        <v>65.0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Saturday</v>
      </c>
      <c r="I30" s="319">
        <v>46074.0</v>
      </c>
      <c r="J30" s="170">
        <f t="array" ref="J30">sum(IF(($P$3:$P$100=I30), $T$3:$T$100, 0))</f>
        <v>2870</v>
      </c>
      <c r="L30" s="152"/>
      <c r="M30" s="47"/>
      <c r="N30" s="48"/>
      <c r="P30" s="404">
        <v>46056.0</v>
      </c>
      <c r="Q30" s="132" t="s">
        <v>114</v>
      </c>
      <c r="R30" s="132" t="s">
        <v>118</v>
      </c>
      <c r="S30" s="132" t="s">
        <v>136</v>
      </c>
      <c r="T30" s="132">
        <v>500.0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Sunday</v>
      </c>
      <c r="I31" s="319">
        <v>46075.0</v>
      </c>
      <c r="J31" s="170">
        <f t="array" ref="J31">sum(IF(($P$3:$P$100=I31), $T$3:$T$100, 0))</f>
        <v>0</v>
      </c>
      <c r="L31" s="153"/>
      <c r="M31" s="154"/>
      <c r="N31" s="68"/>
      <c r="P31" s="404">
        <v>46059.0</v>
      </c>
      <c r="Q31" s="132" t="s">
        <v>119</v>
      </c>
      <c r="R31" s="132" t="s">
        <v>138</v>
      </c>
      <c r="S31" s="132" t="s">
        <v>51</v>
      </c>
      <c r="T31" s="132">
        <v>100.0</v>
      </c>
      <c r="U31" s="109" t="s">
        <v>276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Monday</v>
      </c>
      <c r="I32" s="319">
        <v>46076.0</v>
      </c>
      <c r="J32" s="170">
        <f t="array" ref="J32">sum(IF(($P$3:$P$100=I32), $T$3:$T$100, 0))</f>
        <v>150</v>
      </c>
      <c r="P32" s="404">
        <v>46059.0</v>
      </c>
      <c r="Q32" s="132" t="s">
        <v>119</v>
      </c>
      <c r="R32" s="132" t="s">
        <v>142</v>
      </c>
      <c r="S32" s="132" t="s">
        <v>51</v>
      </c>
      <c r="T32" s="132">
        <f>10+20+30</f>
        <v>60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Tuesday</v>
      </c>
      <c r="I33" s="319">
        <v>46077.0</v>
      </c>
      <c r="J33" s="170">
        <f t="array" ref="J33">sum(IF(($P$3:$P$100=I33), $T$3:$T$100, 0))</f>
        <v>420</v>
      </c>
      <c r="L33" s="137" t="s">
        <v>134</v>
      </c>
      <c r="M33" s="86"/>
      <c r="N33" s="138">
        <f>sum(N35:N40)</f>
        <v>0</v>
      </c>
      <c r="P33" s="404">
        <v>46059.0</v>
      </c>
      <c r="Q33" s="132" t="s">
        <v>131</v>
      </c>
      <c r="R33" s="132" t="s">
        <v>131</v>
      </c>
      <c r="S33" s="132" t="s">
        <v>51</v>
      </c>
      <c r="T33" s="132">
        <f>200+10+2160+1000</f>
        <v>3370</v>
      </c>
      <c r="U33" s="109" t="s">
        <v>277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Wednesday</v>
      </c>
      <c r="I34" s="319">
        <v>46078.0</v>
      </c>
      <c r="J34" s="170">
        <f t="array" ref="J34">sum(IF(($P$3:$P$100=I34), $T$3:$T$100, 0))</f>
        <v>113</v>
      </c>
      <c r="L34" s="139" t="s">
        <v>39</v>
      </c>
      <c r="M34" s="140" t="s">
        <v>243</v>
      </c>
      <c r="N34" s="141" t="s">
        <v>244</v>
      </c>
      <c r="P34" s="404">
        <v>46060.0</v>
      </c>
      <c r="Q34" s="132" t="s">
        <v>119</v>
      </c>
      <c r="R34" s="132" t="s">
        <v>141</v>
      </c>
      <c r="S34" s="132" t="s">
        <v>51</v>
      </c>
      <c r="T34" s="132">
        <v>2000.0</v>
      </c>
      <c r="U34" s="109"/>
      <c r="V34" s="136"/>
    </row>
    <row r="35">
      <c r="B35" s="317"/>
      <c r="C35" s="112"/>
      <c r="D35" s="112"/>
      <c r="E35" s="108"/>
      <c r="F35" s="174"/>
      <c r="H35" s="318" t="str">
        <f t="shared" si="1"/>
        <v>Thursday</v>
      </c>
      <c r="I35" s="319">
        <v>46079.0</v>
      </c>
      <c r="J35" s="170">
        <f t="array" ref="J35">sum(IF(($P$3:$P$100=I35), $T$3:$T$100, 0))</f>
        <v>0</v>
      </c>
      <c r="L35" s="293" t="str">
        <f t="array" ref="L35:L39">INDIRECT("SavingsAcc")</f>
        <v>EximBank_2.5</v>
      </c>
      <c r="M35" s="316"/>
      <c r="N35" s="341"/>
      <c r="P35" s="404">
        <v>46060.0</v>
      </c>
      <c r="Q35" s="132" t="s">
        <v>123</v>
      </c>
      <c r="R35" s="132" t="s">
        <v>145</v>
      </c>
      <c r="S35" s="132" t="s">
        <v>51</v>
      </c>
      <c r="T35" s="132">
        <f>70+20</f>
        <v>90</v>
      </c>
      <c r="U35" s="109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 t="s">
        <v>121</v>
      </c>
      <c r="M36" s="316"/>
      <c r="N36" s="341"/>
      <c r="P36" s="404">
        <v>46060.0</v>
      </c>
      <c r="Q36" s="132" t="s">
        <v>119</v>
      </c>
      <c r="R36" s="132" t="s">
        <v>142</v>
      </c>
      <c r="S36" s="132" t="s">
        <v>51</v>
      </c>
      <c r="T36" s="132">
        <f>40+100</f>
        <v>140</v>
      </c>
      <c r="U36" s="109" t="s">
        <v>278</v>
      </c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 t="s">
        <v>125</v>
      </c>
      <c r="M37" s="316"/>
      <c r="N37" s="341"/>
      <c r="P37" s="404">
        <v>46061.0</v>
      </c>
      <c r="Q37" s="132" t="s">
        <v>119</v>
      </c>
      <c r="R37" s="132" t="s">
        <v>138</v>
      </c>
      <c r="S37" s="132" t="s">
        <v>51</v>
      </c>
      <c r="T37" s="132">
        <f>200+300</f>
        <v>500</v>
      </c>
      <c r="U37" s="109" t="s">
        <v>279</v>
      </c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 t="s">
        <v>129</v>
      </c>
      <c r="M38" s="316"/>
      <c r="N38" s="345"/>
      <c r="P38" s="404">
        <v>46061.0</v>
      </c>
      <c r="Q38" s="132" t="s">
        <v>119</v>
      </c>
      <c r="R38" s="132" t="s">
        <v>135</v>
      </c>
      <c r="S38" s="132" t="s">
        <v>51</v>
      </c>
      <c r="T38" s="132">
        <f>500+100+350</f>
        <v>950</v>
      </c>
      <c r="U38" s="481" t="s">
        <v>280</v>
      </c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 t="s">
        <v>132</v>
      </c>
      <c r="M39" s="289"/>
      <c r="N39" s="128"/>
      <c r="P39" s="404">
        <v>46061.0</v>
      </c>
      <c r="Q39" s="132" t="s">
        <v>26</v>
      </c>
      <c r="R39" s="132" t="s">
        <v>26</v>
      </c>
      <c r="S39" s="132" t="s">
        <v>51</v>
      </c>
      <c r="T39" s="132">
        <f>20+10+10</f>
        <v>40</v>
      </c>
      <c r="U39" s="109"/>
      <c r="V39" s="136"/>
    </row>
    <row r="40">
      <c r="P40" s="404">
        <v>46061.0</v>
      </c>
      <c r="Q40" s="132" t="s">
        <v>119</v>
      </c>
      <c r="R40" s="132" t="s">
        <v>141</v>
      </c>
      <c r="S40" s="132" t="s">
        <v>51</v>
      </c>
      <c r="T40" s="132">
        <v>100.0</v>
      </c>
      <c r="U40" s="481" t="s">
        <v>281</v>
      </c>
      <c r="V40" s="136"/>
    </row>
    <row r="41">
      <c r="P41" s="404">
        <v>46061.0</v>
      </c>
      <c r="Q41" s="132" t="s">
        <v>26</v>
      </c>
      <c r="R41" s="132" t="s">
        <v>151</v>
      </c>
      <c r="S41" s="132" t="s">
        <v>51</v>
      </c>
      <c r="T41" s="132">
        <v>100.0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1"/>
      <c r="I42" s="527"/>
      <c r="J42" s="409"/>
      <c r="K42" s="411"/>
      <c r="L42" s="412"/>
      <c r="P42" s="404">
        <v>46062.0</v>
      </c>
      <c r="Q42" s="132" t="s">
        <v>119</v>
      </c>
      <c r="R42" s="132" t="s">
        <v>142</v>
      </c>
      <c r="S42" s="132" t="s">
        <v>51</v>
      </c>
      <c r="T42" s="132">
        <v>30.0</v>
      </c>
      <c r="U42" s="113"/>
      <c r="V42" s="136"/>
    </row>
    <row r="43">
      <c r="B43" s="413"/>
      <c r="C43" s="414"/>
      <c r="D43" s="414"/>
      <c r="E43" s="414"/>
      <c r="F43" s="414"/>
      <c r="G43" s="414"/>
      <c r="H43" s="415"/>
      <c r="I43" s="51"/>
      <c r="J43" s="413"/>
      <c r="K43" s="415"/>
      <c r="L43" s="51"/>
      <c r="P43" s="404">
        <v>46063.0</v>
      </c>
      <c r="Q43" s="132" t="s">
        <v>119</v>
      </c>
      <c r="R43" s="132" t="s">
        <v>142</v>
      </c>
      <c r="S43" s="132" t="s">
        <v>120</v>
      </c>
      <c r="T43" s="132">
        <v>900.0</v>
      </c>
      <c r="U43" s="109" t="s">
        <v>282</v>
      </c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483" t="s">
        <v>43</v>
      </c>
      <c r="J44" s="485" t="s">
        <v>4</v>
      </c>
      <c r="K44" s="418"/>
      <c r="L44" s="486" t="s">
        <v>206</v>
      </c>
      <c r="P44" s="404">
        <v>46064.0</v>
      </c>
      <c r="Q44" s="132" t="s">
        <v>123</v>
      </c>
      <c r="R44" s="132" t="s">
        <v>145</v>
      </c>
      <c r="S44" s="132" t="s">
        <v>51</v>
      </c>
      <c r="T44" s="132">
        <f>100+80</f>
        <v>180</v>
      </c>
      <c r="U44" s="109" t="s">
        <v>283</v>
      </c>
      <c r="V44" s="136"/>
    </row>
    <row r="45">
      <c r="B45" s="423" t="s">
        <v>114</v>
      </c>
      <c r="C45" s="424"/>
      <c r="D45" s="425"/>
      <c r="E45" s="426">
        <f>Sum(I45:I50)</f>
        <v>17070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16921</v>
      </c>
      <c r="M45" s="298">
        <f>I45+I48+I50</f>
        <v>14880</v>
      </c>
      <c r="P45" s="404">
        <v>46066.0</v>
      </c>
      <c r="Q45" s="132" t="s">
        <v>119</v>
      </c>
      <c r="R45" s="132" t="s">
        <v>142</v>
      </c>
      <c r="S45" s="132" t="s">
        <v>51</v>
      </c>
      <c r="T45" s="132">
        <v>100.0</v>
      </c>
      <c r="U45" s="109" t="s">
        <v>284</v>
      </c>
      <c r="V45" s="136"/>
    </row>
    <row r="46">
      <c r="B46" s="432"/>
      <c r="D46" s="433"/>
      <c r="E46" s="434"/>
      <c r="F46" s="435" t="s">
        <v>118</v>
      </c>
      <c r="H46" s="433"/>
      <c r="I46" s="436">
        <v>1000.0</v>
      </c>
      <c r="J46" s="437">
        <f t="array" ref="J46">sum(IF(($R$3:$R$100=F46), $T$3:$T$100, 0))</f>
        <v>1000</v>
      </c>
      <c r="K46" s="418"/>
      <c r="L46" s="434"/>
      <c r="P46" s="404">
        <v>46067.0</v>
      </c>
      <c r="Q46" s="132" t="s">
        <v>131</v>
      </c>
      <c r="R46" s="132" t="s">
        <v>131</v>
      </c>
      <c r="S46" s="132" t="s">
        <v>51</v>
      </c>
      <c r="T46" s="132">
        <f>150+100+40</f>
        <v>290</v>
      </c>
      <c r="U46" s="109" t="s">
        <v>285</v>
      </c>
      <c r="V46" s="136"/>
    </row>
    <row r="47">
      <c r="B47" s="438"/>
      <c r="D47" s="439"/>
      <c r="E47" s="37"/>
      <c r="F47" s="440" t="s">
        <v>122</v>
      </c>
      <c r="H47" s="439"/>
      <c r="I47" s="441">
        <v>350.0</v>
      </c>
      <c r="J47" s="429">
        <f t="array" ref="J47">sum(IF(($R$3:$R$100=F47), $T$3:$T$100, 0))</f>
        <v>201</v>
      </c>
      <c r="K47" s="430"/>
      <c r="L47" s="37"/>
      <c r="P47" s="404">
        <v>46067.0</v>
      </c>
      <c r="Q47" s="132" t="s">
        <v>123</v>
      </c>
      <c r="R47" s="132" t="s">
        <v>145</v>
      </c>
      <c r="S47" s="132" t="s">
        <v>51</v>
      </c>
      <c r="T47" s="132">
        <f>160</f>
        <v>160</v>
      </c>
      <c r="U47" s="109" t="s">
        <v>286</v>
      </c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P48" s="404">
        <v>46068.0</v>
      </c>
      <c r="Q48" s="132" t="s">
        <v>119</v>
      </c>
      <c r="R48" s="132" t="s">
        <v>138</v>
      </c>
      <c r="S48" s="132" t="s">
        <v>51</v>
      </c>
      <c r="T48" s="132">
        <f>320</f>
        <v>320</v>
      </c>
      <c r="U48" s="109" t="s">
        <v>204</v>
      </c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P49" s="404">
        <v>46069.0</v>
      </c>
      <c r="Q49" s="132" t="s">
        <v>119</v>
      </c>
      <c r="R49" s="132" t="s">
        <v>141</v>
      </c>
      <c r="S49" s="132" t="s">
        <v>51</v>
      </c>
      <c r="T49" s="132">
        <v>1000.0</v>
      </c>
      <c r="U49" s="113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P50" s="404">
        <v>46070.0</v>
      </c>
      <c r="Q50" s="132" t="s">
        <v>119</v>
      </c>
      <c r="R50" s="132" t="s">
        <v>138</v>
      </c>
      <c r="S50" s="132" t="s">
        <v>51</v>
      </c>
      <c r="T50" s="132">
        <f>800</f>
        <v>800</v>
      </c>
      <c r="U50" s="109" t="s">
        <v>287</v>
      </c>
      <c r="V50" s="136"/>
    </row>
    <row r="51">
      <c r="B51" s="447" t="s">
        <v>119</v>
      </c>
      <c r="C51" s="424"/>
      <c r="D51" s="425"/>
      <c r="E51" s="431">
        <f>Sum(I51:I54)</f>
        <v>17000</v>
      </c>
      <c r="F51" s="448" t="s">
        <v>135</v>
      </c>
      <c r="G51" s="424"/>
      <c r="H51" s="425"/>
      <c r="I51" s="449">
        <v>4500.0</v>
      </c>
      <c r="J51" s="450">
        <f t="array" ref="J51">sum(IF(($R$3:$R$100=F51), $T$3:$T$100, 0))</f>
        <v>4350</v>
      </c>
      <c r="K51" s="430"/>
      <c r="L51" s="431">
        <f>sum(J51:J54)</f>
        <v>17395</v>
      </c>
      <c r="P51" s="404">
        <v>46070.0</v>
      </c>
      <c r="Q51" s="132" t="s">
        <v>119</v>
      </c>
      <c r="R51" s="132" t="s">
        <v>135</v>
      </c>
      <c r="S51" s="132" t="s">
        <v>51</v>
      </c>
      <c r="T51" s="132">
        <f>1000+400</f>
        <v>1400</v>
      </c>
      <c r="U51" s="109" t="s">
        <v>288</v>
      </c>
      <c r="V51" s="136"/>
    </row>
    <row r="52">
      <c r="B52" s="432"/>
      <c r="D52" s="433"/>
      <c r="E52" s="434"/>
      <c r="F52" s="451" t="s">
        <v>138</v>
      </c>
      <c r="H52" s="433"/>
      <c r="I52" s="452">
        <v>2500.0</v>
      </c>
      <c r="J52" s="453">
        <f t="array" ref="J52">sum(IF(($R$3:$R$100=F52), $T$3:$T$100, 0))</f>
        <v>2910</v>
      </c>
      <c r="K52" s="418"/>
      <c r="L52" s="434"/>
      <c r="P52" s="404">
        <v>46070.0</v>
      </c>
      <c r="Q52" s="132" t="s">
        <v>123</v>
      </c>
      <c r="R52" s="132" t="s">
        <v>145</v>
      </c>
      <c r="S52" s="132" t="s">
        <v>51</v>
      </c>
      <c r="T52" s="132">
        <f>260</f>
        <v>260</v>
      </c>
      <c r="U52" s="109" t="s">
        <v>163</v>
      </c>
      <c r="V52" s="136"/>
    </row>
    <row r="53">
      <c r="B53" s="438"/>
      <c r="D53" s="439"/>
      <c r="E53" s="37"/>
      <c r="F53" s="454" t="s">
        <v>141</v>
      </c>
      <c r="H53" s="439"/>
      <c r="I53" s="449">
        <v>8000.0</v>
      </c>
      <c r="J53" s="450">
        <f t="array" ref="J53">sum(IF(($R$3:$R$100=F53), $T$3:$T$100, 0))</f>
        <v>8220</v>
      </c>
      <c r="K53" s="430"/>
      <c r="L53" s="37"/>
      <c r="P53" s="404">
        <v>46071.0</v>
      </c>
      <c r="Q53" s="132" t="s">
        <v>114</v>
      </c>
      <c r="R53" s="132" t="s">
        <v>130</v>
      </c>
      <c r="S53" s="132" t="s">
        <v>12</v>
      </c>
      <c r="T53" s="132">
        <v>840.0</v>
      </c>
      <c r="U53" s="113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2000.0</v>
      </c>
      <c r="J54" s="453">
        <f t="array" ref="J54">sum(IF(($R$3:$R$100=F54), $T$3:$T$100, 0))</f>
        <v>1915</v>
      </c>
      <c r="K54" s="418"/>
      <c r="L54" s="445"/>
      <c r="P54" s="404">
        <v>46071.0</v>
      </c>
      <c r="Q54" s="132" t="s">
        <v>131</v>
      </c>
      <c r="R54" s="132" t="s">
        <v>148</v>
      </c>
      <c r="S54" s="132" t="s">
        <v>51</v>
      </c>
      <c r="T54" s="132">
        <v>15.0</v>
      </c>
      <c r="U54" s="113"/>
      <c r="V54" s="136"/>
    </row>
    <row r="55">
      <c r="B55" s="447" t="s">
        <v>123</v>
      </c>
      <c r="C55" s="424"/>
      <c r="D55" s="425"/>
      <c r="E55" s="431">
        <f>sum(I55:I57)</f>
        <v>5500</v>
      </c>
      <c r="F55" s="448" t="s">
        <v>123</v>
      </c>
      <c r="G55" s="424"/>
      <c r="H55" s="425"/>
      <c r="I55" s="456">
        <v>200.0</v>
      </c>
      <c r="J55" s="450">
        <f t="array" ref="J55">sum(IF(($R$3:$R$100=F55), $T$3:$T$100, 0))</f>
        <v>0</v>
      </c>
      <c r="K55" s="430"/>
      <c r="L55" s="431">
        <f>sum(J55:J58)</f>
        <v>5875</v>
      </c>
      <c r="P55" s="404">
        <v>46071.0</v>
      </c>
      <c r="Q55" s="132" t="s">
        <v>123</v>
      </c>
      <c r="R55" s="132" t="s">
        <v>145</v>
      </c>
      <c r="S55" s="132" t="s">
        <v>51</v>
      </c>
      <c r="T55" s="132">
        <v>110.0</v>
      </c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300.0</v>
      </c>
      <c r="J56" s="453">
        <f t="array" ref="J56">sum(IF(($R$3:$R$100=F56), $T$3:$T$100, 0))</f>
        <v>320</v>
      </c>
      <c r="K56" s="418"/>
      <c r="L56" s="434"/>
      <c r="P56" s="404">
        <v>46072.0</v>
      </c>
      <c r="Q56" s="132" t="s">
        <v>114</v>
      </c>
      <c r="R56" s="132" t="s">
        <v>122</v>
      </c>
      <c r="S56" s="132" t="s">
        <v>12</v>
      </c>
      <c r="T56" s="132">
        <v>201.0</v>
      </c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5000.0</v>
      </c>
      <c r="J57" s="450">
        <f t="array" ref="J57">sum(IF(($R$3:$R$100=F57), $T$3:$T$100, 0))</f>
        <v>5525</v>
      </c>
      <c r="K57" s="430"/>
      <c r="L57" s="51"/>
      <c r="P57" s="404">
        <v>46072.0</v>
      </c>
      <c r="Q57" s="132" t="s">
        <v>119</v>
      </c>
      <c r="R57" s="132" t="s">
        <v>142</v>
      </c>
      <c r="S57" s="132" t="s">
        <v>51</v>
      </c>
      <c r="T57" s="132">
        <v>100.0</v>
      </c>
      <c r="U57" s="113"/>
      <c r="V57" s="136"/>
    </row>
    <row r="58">
      <c r="B58" s="458" t="s">
        <v>127</v>
      </c>
      <c r="C58" s="459"/>
      <c r="D58" s="460"/>
      <c r="E58" s="461">
        <f>I58+I59</f>
        <v>400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30</v>
      </c>
      <c r="K58" s="418"/>
      <c r="L58" s="464">
        <f>J58+J59</f>
        <v>729</v>
      </c>
      <c r="P58" s="404">
        <v>46072.0</v>
      </c>
      <c r="Q58" s="132" t="s">
        <v>127</v>
      </c>
      <c r="R58" s="132" t="s">
        <v>147</v>
      </c>
      <c r="S58" s="132" t="s">
        <v>12</v>
      </c>
      <c r="T58" s="132">
        <f>210+130</f>
        <v>340</v>
      </c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441">
        <v>300.0</v>
      </c>
      <c r="J59" s="450">
        <f t="array" ref="J59">sum(IF(($R$3:$R$100=F59), $T$3:$T$100, 0))</f>
        <v>699</v>
      </c>
      <c r="K59" s="430"/>
      <c r="L59" s="51"/>
      <c r="P59" s="404">
        <v>46063.0</v>
      </c>
      <c r="Q59" s="132" t="s">
        <v>127</v>
      </c>
      <c r="R59" s="132" t="s">
        <v>146</v>
      </c>
      <c r="S59" s="132" t="s">
        <v>12</v>
      </c>
      <c r="T59" s="132">
        <v>30.0</v>
      </c>
      <c r="U59" s="113"/>
      <c r="V59" s="136"/>
    </row>
    <row r="60">
      <c r="B60" s="458" t="s">
        <v>131</v>
      </c>
      <c r="C60" s="459"/>
      <c r="D60" s="460"/>
      <c r="E60" s="467">
        <f>I60+I61+I62+I63+I64</f>
        <v>6550</v>
      </c>
      <c r="F60" s="462" t="s">
        <v>148</v>
      </c>
      <c r="G60" s="459"/>
      <c r="H60" s="460"/>
      <c r="I60" s="487">
        <v>50.0</v>
      </c>
      <c r="J60" s="453">
        <f t="array" ref="J60">sum(IF(($R$3:$R$100=F60), $T$3:$T$100, 0))</f>
        <v>45</v>
      </c>
      <c r="K60" s="418"/>
      <c r="L60" s="464">
        <f>J60+J61+J62+J63+J64</f>
        <v>9050</v>
      </c>
      <c r="P60" s="404">
        <v>46073.0</v>
      </c>
      <c r="Q60" s="132" t="s">
        <v>26</v>
      </c>
      <c r="R60" s="132" t="s">
        <v>26</v>
      </c>
      <c r="S60" s="132" t="s">
        <v>51</v>
      </c>
      <c r="T60" s="132">
        <v>100.0</v>
      </c>
      <c r="U60" s="113"/>
      <c r="V60" s="136"/>
    </row>
    <row r="61">
      <c r="B61" s="438"/>
      <c r="D61" s="439"/>
      <c r="E61" s="438"/>
      <c r="F61" s="454" t="s">
        <v>23</v>
      </c>
      <c r="H61" s="439"/>
      <c r="I61" s="488">
        <v>0.0</v>
      </c>
      <c r="J61" s="450">
        <f t="array" ref="J61">sum(IF(($R$3:$R$100=F61), $T$3:$T$100, 0))</f>
        <v>20</v>
      </c>
      <c r="K61" s="430"/>
      <c r="L61" s="37"/>
      <c r="P61" s="404">
        <v>46074.0</v>
      </c>
      <c r="Q61" s="132" t="s">
        <v>131</v>
      </c>
      <c r="R61" s="132" t="s">
        <v>131</v>
      </c>
      <c r="S61" s="132" t="s">
        <v>51</v>
      </c>
      <c r="T61" s="132">
        <f>1400+1400+50</f>
        <v>2850</v>
      </c>
      <c r="U61" s="109" t="s">
        <v>289</v>
      </c>
      <c r="V61" s="136"/>
    </row>
    <row r="62">
      <c r="B62" s="432"/>
      <c r="D62" s="433"/>
      <c r="E62" s="432"/>
      <c r="F62" s="451" t="s">
        <v>149</v>
      </c>
      <c r="H62" s="433"/>
      <c r="I62" s="489">
        <v>2500.0</v>
      </c>
      <c r="J62" s="453">
        <f t="array" ref="J62">sum(IF(($R$3:$R$100=F62), $T$3:$T$100, 0))</f>
        <v>2475</v>
      </c>
      <c r="K62" s="418"/>
      <c r="L62" s="434"/>
      <c r="P62" s="404">
        <v>46074.0</v>
      </c>
      <c r="Q62" s="132" t="s">
        <v>119</v>
      </c>
      <c r="R62" s="132" t="s">
        <v>142</v>
      </c>
      <c r="S62" s="132" t="s">
        <v>51</v>
      </c>
      <c r="T62" s="132">
        <v>20.0</v>
      </c>
      <c r="U62" s="113"/>
      <c r="V62" s="136"/>
    </row>
    <row r="63">
      <c r="B63" s="438"/>
      <c r="D63" s="439"/>
      <c r="E63" s="438"/>
      <c r="F63" s="454" t="s">
        <v>150</v>
      </c>
      <c r="H63" s="439"/>
      <c r="I63" s="490">
        <v>0.0</v>
      </c>
      <c r="J63" s="450">
        <f t="array" ref="J63">sum(IF(($R$3:$R$100=F63), $T$3:$T$100, 0))</f>
        <v>0</v>
      </c>
      <c r="K63" s="430"/>
      <c r="L63" s="37"/>
      <c r="P63" s="404">
        <v>46076.0</v>
      </c>
      <c r="Q63" s="132" t="s">
        <v>123</v>
      </c>
      <c r="R63" s="132" t="s">
        <v>145</v>
      </c>
      <c r="S63" s="132" t="s">
        <v>51</v>
      </c>
      <c r="T63" s="132">
        <v>150.0</v>
      </c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491">
        <v>4000.0</v>
      </c>
      <c r="J64" s="467">
        <f t="array" ref="J64">sum(IF(($R$3:$R$100=F64), $T$3:$T$100, 0))</f>
        <v>6510</v>
      </c>
      <c r="K64" s="460"/>
      <c r="L64" s="445"/>
      <c r="P64" s="404">
        <v>46077.0</v>
      </c>
      <c r="Q64" s="132" t="s">
        <v>119</v>
      </c>
      <c r="R64" s="132" t="s">
        <v>138</v>
      </c>
      <c r="S64" s="132" t="s">
        <v>51</v>
      </c>
      <c r="T64" s="132">
        <f>420</f>
        <v>420</v>
      </c>
      <c r="U64" s="113"/>
      <c r="V64" s="136"/>
    </row>
    <row r="65">
      <c r="B65" s="38" t="s">
        <v>134</v>
      </c>
      <c r="D65" s="439"/>
      <c r="E65" s="492">
        <f>sum(I65:I68)</f>
        <v>2500</v>
      </c>
      <c r="F65" s="448" t="s">
        <v>116</v>
      </c>
      <c r="G65" s="424"/>
      <c r="H65" s="425"/>
      <c r="I65" s="490">
        <v>2500.0</v>
      </c>
      <c r="J65" s="468">
        <f t="array" ref="J65">sum(IF(($R$3:$R$100=F65), $T$3:$T$100, 0))</f>
        <v>2500</v>
      </c>
      <c r="K65" s="425"/>
      <c r="L65" s="431">
        <f>sum(J65:J68)</f>
        <v>2500</v>
      </c>
      <c r="P65" s="404">
        <v>46078.0</v>
      </c>
      <c r="Q65" s="132" t="s">
        <v>131</v>
      </c>
      <c r="R65" s="132" t="s">
        <v>23</v>
      </c>
      <c r="S65" s="132" t="s">
        <v>51</v>
      </c>
      <c r="T65" s="132">
        <v>20.0</v>
      </c>
      <c r="U65" s="113"/>
      <c r="V65" s="136"/>
    </row>
    <row r="66">
      <c r="B66" s="432"/>
      <c r="D66" s="433"/>
      <c r="E66" s="432"/>
      <c r="F66" s="493" t="s">
        <v>121</v>
      </c>
      <c r="H66" s="433"/>
      <c r="I66" s="494">
        <v>0.0</v>
      </c>
      <c r="J66" s="470">
        <f t="array" ref="J66">sum(IF(($R$3:$R$100=F66), $T$3:$T$100, 0))</f>
        <v>0</v>
      </c>
      <c r="K66" s="460"/>
      <c r="L66" s="434"/>
      <c r="P66" s="404">
        <v>46078.0</v>
      </c>
      <c r="Q66" s="132" t="s">
        <v>26</v>
      </c>
      <c r="R66" s="132" t="s">
        <v>26</v>
      </c>
      <c r="S66" s="132" t="s">
        <v>51</v>
      </c>
      <c r="T66" s="132">
        <f>30</f>
        <v>30</v>
      </c>
      <c r="U66" s="113"/>
      <c r="V66" s="136"/>
    </row>
    <row r="67">
      <c r="B67" s="438"/>
      <c r="D67" s="439"/>
      <c r="E67" s="438"/>
      <c r="F67" s="454" t="s">
        <v>125</v>
      </c>
      <c r="H67" s="439"/>
      <c r="I67" s="490">
        <v>0.0</v>
      </c>
      <c r="J67" s="468">
        <f t="array" ref="J67">sum(IF(($R$3:$R$100=F67), $T$3:$T$100, 0))</f>
        <v>0</v>
      </c>
      <c r="K67" s="425"/>
      <c r="L67" s="37"/>
      <c r="P67" s="404">
        <v>46078.0</v>
      </c>
      <c r="Q67" s="132" t="s">
        <v>127</v>
      </c>
      <c r="R67" s="132" t="s">
        <v>147</v>
      </c>
      <c r="S67" s="132" t="s">
        <v>12</v>
      </c>
      <c r="T67" s="132">
        <v>50.0</v>
      </c>
      <c r="U67" s="113"/>
      <c r="V67" s="136"/>
    </row>
    <row r="68">
      <c r="B68" s="432"/>
      <c r="D68" s="433"/>
      <c r="E68" s="442"/>
      <c r="F68" s="493" t="s">
        <v>129</v>
      </c>
      <c r="H68" s="433"/>
      <c r="I68" s="494">
        <v>0.0</v>
      </c>
      <c r="J68" s="472">
        <f t="array" ref="J68">sum(IF(($R$3:$R$100=F68), $T$3:$T$100, 0))</f>
        <v>0</v>
      </c>
      <c r="K68" s="418"/>
      <c r="L68" s="445"/>
      <c r="P68" s="404">
        <v>46078.0</v>
      </c>
      <c r="Q68" s="132" t="s">
        <v>139</v>
      </c>
      <c r="R68" s="132" t="s">
        <v>151</v>
      </c>
      <c r="S68" s="132" t="s">
        <v>136</v>
      </c>
      <c r="T68" s="132">
        <v>13.0</v>
      </c>
      <c r="U68" s="109" t="s">
        <v>290</v>
      </c>
      <c r="V68" s="136"/>
    </row>
    <row r="69">
      <c r="B69" s="447" t="s">
        <v>26</v>
      </c>
      <c r="C69" s="424"/>
      <c r="D69" s="425"/>
      <c r="E69" s="495"/>
      <c r="F69" s="495" t="s">
        <v>132</v>
      </c>
      <c r="G69" s="424"/>
      <c r="H69" s="425"/>
      <c r="I69" s="496">
        <v>200.0</v>
      </c>
      <c r="J69" s="497">
        <f t="array" ref="J69">sum(IF(($R$3:$R$100=F69), $T$3:$T$100, 0))</f>
        <v>0</v>
      </c>
      <c r="K69" s="430"/>
      <c r="L69" s="466"/>
      <c r="P69" s="404"/>
      <c r="Q69" s="132"/>
      <c r="R69" s="132"/>
      <c r="S69" s="132"/>
      <c r="T69" s="132"/>
      <c r="U69" s="113"/>
      <c r="V69" s="136"/>
    </row>
    <row r="70">
      <c r="B70" s="442"/>
      <c r="C70" s="443"/>
      <c r="D70" s="444"/>
      <c r="E70" s="442"/>
      <c r="F70" s="493" t="s">
        <v>26</v>
      </c>
      <c r="H70" s="433"/>
      <c r="I70" s="498"/>
      <c r="J70" s="472">
        <f t="array" ref="J70">sum(IF(($R$3:$R$100=F70), $T$3:$T$100, 0))</f>
        <v>200</v>
      </c>
      <c r="K70" s="418"/>
      <c r="L70" s="445"/>
      <c r="P70" s="404"/>
      <c r="Q70" s="132"/>
      <c r="R70" s="132"/>
      <c r="S70" s="132"/>
      <c r="T70" s="132"/>
      <c r="U70" s="113"/>
      <c r="V70" s="136"/>
    </row>
    <row r="71">
      <c r="B71" s="447" t="s">
        <v>139</v>
      </c>
      <c r="C71" s="424"/>
      <c r="D71" s="425"/>
      <c r="E71" s="495"/>
      <c r="F71" s="495" t="s">
        <v>151</v>
      </c>
      <c r="G71" s="424"/>
      <c r="H71" s="425"/>
      <c r="I71" s="499"/>
      <c r="J71" s="497">
        <f t="array" ref="J71">sum(IF(($R$3:$R$100=F71), $T$3:$T$100, 0))</f>
        <v>113</v>
      </c>
      <c r="K71" s="430"/>
      <c r="L71" s="466"/>
      <c r="P71" s="404"/>
      <c r="Q71" s="132"/>
      <c r="R71" s="132"/>
      <c r="S71" s="132"/>
      <c r="T71" s="132"/>
      <c r="U71" s="113"/>
      <c r="V71" s="136"/>
    </row>
    <row r="72">
      <c r="B72" s="442"/>
      <c r="C72" s="443"/>
      <c r="D72" s="444"/>
      <c r="E72" s="442"/>
      <c r="F72" s="469" t="s">
        <v>152</v>
      </c>
      <c r="G72" s="443"/>
      <c r="H72" s="444"/>
      <c r="I72" s="498"/>
      <c r="J72" s="472">
        <f t="array" ref="J72">sum(IF(($R$3:$R$100=F72), $T$3:$T$100, 0))</f>
        <v>0</v>
      </c>
      <c r="K72" s="418"/>
      <c r="L72" s="445"/>
      <c r="P72" s="404"/>
      <c r="Q72" s="132"/>
      <c r="R72" s="132"/>
      <c r="S72" s="132"/>
      <c r="T72" s="132"/>
      <c r="U72" s="113"/>
      <c r="V72" s="136"/>
    </row>
    <row r="73">
      <c r="F73" s="298" t="s">
        <v>153</v>
      </c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H75" s="500" t="s">
        <v>96</v>
      </c>
      <c r="I75" s="501">
        <f t="shared" ref="I75:J75" si="2">SUM(I45:I72)</f>
        <v>49220</v>
      </c>
      <c r="J75" s="501">
        <f t="shared" si="2"/>
        <v>52753</v>
      </c>
      <c r="L75" s="502">
        <f t="shared" ref="L75:L77" si="4">I75-J75</f>
        <v>-3533</v>
      </c>
      <c r="P75" s="404"/>
      <c r="Q75" s="132"/>
      <c r="R75" s="132"/>
      <c r="S75" s="132"/>
      <c r="T75" s="132"/>
      <c r="U75" s="113"/>
      <c r="V75" s="136"/>
    </row>
    <row r="76">
      <c r="H76" s="503" t="s">
        <v>190</v>
      </c>
      <c r="I76" s="504">
        <f t="shared" ref="I76:J76" si="3">I46+I47+I49+I58+I59+I63+I67+I68+I62+I64+I65+I66</f>
        <v>11590</v>
      </c>
      <c r="J76" s="504">
        <f t="shared" si="3"/>
        <v>14255</v>
      </c>
      <c r="L76" s="505">
        <f t="shared" si="4"/>
        <v>-2665</v>
      </c>
      <c r="P76" s="404"/>
      <c r="Q76" s="132"/>
      <c r="R76" s="132"/>
      <c r="S76" s="132"/>
      <c r="T76" s="132"/>
      <c r="U76" s="113"/>
      <c r="V76" s="136"/>
    </row>
    <row r="77">
      <c r="H77" s="506" t="s">
        <v>51</v>
      </c>
      <c r="I77" s="507">
        <f t="shared" ref="I77:J77" si="5">I75-I76</f>
        <v>37630</v>
      </c>
      <c r="J77" s="507">
        <f t="shared" si="5"/>
        <v>38498</v>
      </c>
      <c r="L77" s="508">
        <f t="shared" si="4"/>
        <v>-868</v>
      </c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E81" s="111"/>
      <c r="F81" s="111"/>
      <c r="P81" s="404"/>
      <c r="Q81" s="102"/>
      <c r="R81" s="102"/>
      <c r="S81" s="102"/>
      <c r="T81" s="102"/>
      <c r="U81" s="113"/>
      <c r="V81" s="136"/>
    </row>
    <row r="82">
      <c r="B82" s="528" t="s">
        <v>291</v>
      </c>
      <c r="C82" s="410"/>
      <c r="D82" s="410"/>
      <c r="E82" s="410"/>
      <c r="F82" s="410"/>
      <c r="G82" s="410"/>
      <c r="H82" s="411"/>
      <c r="I82" s="529">
        <f t="shared" ref="I82:J82" si="6">sum(I85:I116)</f>
        <v>25000</v>
      </c>
      <c r="J82" s="530">
        <f t="shared" si="6"/>
        <v>5960</v>
      </c>
      <c r="K82" s="411"/>
      <c r="L82" s="531">
        <f>I82-I82</f>
        <v>0</v>
      </c>
      <c r="P82" s="404"/>
      <c r="Q82" s="102"/>
      <c r="R82" s="102"/>
      <c r="S82" s="102"/>
      <c r="T82" s="102"/>
      <c r="U82" s="113"/>
      <c r="V82" s="136"/>
    </row>
    <row r="83">
      <c r="B83" s="413"/>
      <c r="C83" s="414"/>
      <c r="D83" s="414"/>
      <c r="E83" s="414"/>
      <c r="F83" s="414"/>
      <c r="G83" s="414"/>
      <c r="H83" s="415"/>
      <c r="I83" s="51"/>
      <c r="J83" s="413"/>
      <c r="K83" s="415"/>
      <c r="L83" s="51"/>
      <c r="P83" s="404"/>
      <c r="Q83" s="102"/>
      <c r="R83" s="102"/>
      <c r="S83" s="102"/>
      <c r="T83" s="102"/>
      <c r="U83" s="113"/>
      <c r="V83" s="136"/>
    </row>
    <row r="84">
      <c r="B84" s="482" t="s">
        <v>107</v>
      </c>
      <c r="C84" s="417"/>
      <c r="D84" s="418"/>
      <c r="E84" s="483" t="s">
        <v>43</v>
      </c>
      <c r="F84" s="484" t="s">
        <v>108</v>
      </c>
      <c r="G84" s="417"/>
      <c r="H84" s="418"/>
      <c r="I84" s="483" t="s">
        <v>43</v>
      </c>
      <c r="J84" s="485" t="s">
        <v>4</v>
      </c>
      <c r="K84" s="418"/>
      <c r="L84" s="486" t="s">
        <v>206</v>
      </c>
      <c r="P84" s="112"/>
      <c r="Q84" s="102"/>
      <c r="R84" s="102"/>
      <c r="S84" s="102"/>
      <c r="T84" s="102"/>
      <c r="U84" s="113"/>
      <c r="V84" s="136"/>
    </row>
    <row r="85">
      <c r="B85" s="447" t="s">
        <v>292</v>
      </c>
      <c r="C85" s="424"/>
      <c r="D85" s="425"/>
      <c r="E85" s="431">
        <f>SUM(I85:I88)</f>
        <v>5000</v>
      </c>
      <c r="F85" s="447" t="s">
        <v>293</v>
      </c>
      <c r="G85" s="424"/>
      <c r="H85" s="425"/>
      <c r="I85" s="449">
        <v>3000.0</v>
      </c>
      <c r="J85" s="20">
        <f>2160+1000</f>
        <v>3160</v>
      </c>
      <c r="K85" s="430"/>
      <c r="L85" s="431">
        <f>sum(I85:I88) - sum(J85:J88)</f>
        <v>440</v>
      </c>
      <c r="P85" s="112"/>
      <c r="Q85" s="102"/>
      <c r="R85" s="102"/>
      <c r="S85" s="102"/>
      <c r="T85" s="102"/>
      <c r="U85" s="113"/>
      <c r="V85" s="136"/>
    </row>
    <row r="86">
      <c r="B86" s="432"/>
      <c r="D86" s="433"/>
      <c r="E86" s="434"/>
      <c r="F86" s="532" t="s">
        <v>294</v>
      </c>
      <c r="H86" s="433"/>
      <c r="I86" s="452">
        <v>2000.0</v>
      </c>
      <c r="J86" s="533">
        <v>1400.0</v>
      </c>
      <c r="K86" s="418"/>
      <c r="L86" s="434"/>
      <c r="P86" s="112"/>
      <c r="Q86" s="102"/>
      <c r="R86" s="102"/>
      <c r="S86" s="102"/>
      <c r="T86" s="102"/>
      <c r="U86" s="113"/>
      <c r="V86" s="136"/>
    </row>
    <row r="87">
      <c r="B87" s="438"/>
      <c r="D87" s="439"/>
      <c r="E87" s="37"/>
      <c r="F87" s="61"/>
      <c r="H87" s="439"/>
      <c r="I87" s="449"/>
      <c r="J87" s="20"/>
      <c r="K87" s="430"/>
      <c r="L87" s="37"/>
      <c r="P87" s="112"/>
      <c r="Q87" s="102"/>
      <c r="R87" s="102"/>
      <c r="S87" s="102"/>
      <c r="T87" s="102"/>
      <c r="U87" s="113"/>
      <c r="V87" s="136"/>
    </row>
    <row r="88">
      <c r="B88" s="442"/>
      <c r="C88" s="443"/>
      <c r="D88" s="444"/>
      <c r="E88" s="445"/>
      <c r="F88" s="534"/>
      <c r="G88" s="443"/>
      <c r="H88" s="444"/>
      <c r="I88" s="452"/>
      <c r="J88" s="533"/>
      <c r="K88" s="418"/>
      <c r="L88" s="445"/>
      <c r="P88" s="112"/>
      <c r="Q88" s="102"/>
      <c r="R88" s="102"/>
      <c r="S88" s="102"/>
      <c r="T88" s="102"/>
      <c r="U88" s="113"/>
      <c r="V88" s="136"/>
    </row>
    <row r="89">
      <c r="B89" s="447" t="s">
        <v>295</v>
      </c>
      <c r="C89" s="424"/>
      <c r="D89" s="425"/>
      <c r="E89" s="431">
        <f>SUM(I89:I92)</f>
        <v>500</v>
      </c>
      <c r="F89" s="447" t="s">
        <v>296</v>
      </c>
      <c r="G89" s="424"/>
      <c r="H89" s="425"/>
      <c r="I89" s="449">
        <v>500.0</v>
      </c>
      <c r="J89" s="20"/>
      <c r="K89" s="430"/>
      <c r="L89" s="431">
        <f>sum(I89:I92) - sum(J89:J92)</f>
        <v>500</v>
      </c>
      <c r="P89" s="112"/>
      <c r="Q89" s="102"/>
      <c r="R89" s="102"/>
      <c r="S89" s="102"/>
      <c r="T89" s="102"/>
      <c r="U89" s="113"/>
      <c r="V89" s="136"/>
    </row>
    <row r="90">
      <c r="B90" s="432"/>
      <c r="D90" s="433"/>
      <c r="E90" s="434"/>
      <c r="F90" s="535"/>
      <c r="H90" s="433"/>
      <c r="I90" s="452"/>
      <c r="J90" s="533"/>
      <c r="K90" s="418"/>
      <c r="L90" s="434"/>
      <c r="P90" s="112"/>
      <c r="Q90" s="102"/>
      <c r="R90" s="102"/>
      <c r="S90" s="102"/>
      <c r="T90" s="102"/>
      <c r="U90" s="113"/>
      <c r="V90" s="136"/>
    </row>
    <row r="91">
      <c r="B91" s="438"/>
      <c r="D91" s="439"/>
      <c r="E91" s="37"/>
      <c r="F91" s="61"/>
      <c r="H91" s="439"/>
      <c r="I91" s="449"/>
      <c r="J91" s="20"/>
      <c r="K91" s="430"/>
      <c r="L91" s="37"/>
      <c r="P91" s="112"/>
      <c r="Q91" s="102"/>
      <c r="R91" s="102"/>
      <c r="S91" s="102"/>
      <c r="T91" s="102"/>
      <c r="U91" s="113"/>
      <c r="V91" s="136"/>
    </row>
    <row r="92">
      <c r="B92" s="442"/>
      <c r="C92" s="443"/>
      <c r="D92" s="444"/>
      <c r="E92" s="445"/>
      <c r="F92" s="534"/>
      <c r="G92" s="443"/>
      <c r="H92" s="444"/>
      <c r="I92" s="452"/>
      <c r="J92" s="533"/>
      <c r="K92" s="418"/>
      <c r="L92" s="445"/>
      <c r="P92" s="112"/>
      <c r="Q92" s="102"/>
      <c r="R92" s="102"/>
      <c r="S92" s="102"/>
      <c r="T92" s="102"/>
      <c r="U92" s="113"/>
      <c r="V92" s="136"/>
    </row>
    <row r="93">
      <c r="B93" s="536" t="s">
        <v>297</v>
      </c>
      <c r="C93" s="424"/>
      <c r="D93" s="425"/>
      <c r="E93" s="431">
        <f>SUM(I93:I96)</f>
        <v>500</v>
      </c>
      <c r="F93" s="536" t="s">
        <v>296</v>
      </c>
      <c r="G93" s="424"/>
      <c r="H93" s="425"/>
      <c r="I93" s="537">
        <v>500.0</v>
      </c>
      <c r="J93" s="20"/>
      <c r="K93" s="430"/>
      <c r="L93" s="431">
        <f>sum(I93:I96) - sum(J93:J96)</f>
        <v>500</v>
      </c>
      <c r="P93" s="112"/>
      <c r="Q93" s="102"/>
      <c r="R93" s="102"/>
      <c r="S93" s="102"/>
      <c r="T93" s="102"/>
      <c r="U93" s="113"/>
      <c r="V93" s="136"/>
    </row>
    <row r="94">
      <c r="B94" s="432"/>
      <c r="D94" s="433"/>
      <c r="E94" s="434"/>
      <c r="F94" s="538"/>
      <c r="H94" s="433"/>
      <c r="I94" s="539"/>
      <c r="J94" s="533"/>
      <c r="K94" s="418"/>
      <c r="L94" s="434"/>
      <c r="P94" s="112"/>
      <c r="Q94" s="102"/>
      <c r="R94" s="102"/>
      <c r="S94" s="102"/>
      <c r="T94" s="102"/>
      <c r="U94" s="113"/>
      <c r="V94" s="136"/>
    </row>
    <row r="95">
      <c r="B95" s="438"/>
      <c r="D95" s="439"/>
      <c r="E95" s="37"/>
      <c r="F95" s="540"/>
      <c r="H95" s="439"/>
      <c r="I95" s="541"/>
      <c r="J95" s="20"/>
      <c r="K95" s="430"/>
      <c r="L95" s="37"/>
      <c r="P95" s="112"/>
      <c r="Q95" s="102"/>
      <c r="R95" s="102"/>
      <c r="S95" s="102"/>
      <c r="T95" s="102"/>
      <c r="U95" s="113"/>
      <c r="V95" s="136"/>
    </row>
    <row r="96">
      <c r="B96" s="442"/>
      <c r="C96" s="443"/>
      <c r="D96" s="444"/>
      <c r="E96" s="445"/>
      <c r="F96" s="542"/>
      <c r="G96" s="443"/>
      <c r="H96" s="444"/>
      <c r="I96" s="539"/>
      <c r="J96" s="533"/>
      <c r="K96" s="418"/>
      <c r="L96" s="445"/>
      <c r="P96" s="112"/>
      <c r="Q96" s="102"/>
      <c r="R96" s="102"/>
      <c r="S96" s="102"/>
      <c r="T96" s="102"/>
      <c r="U96" s="113"/>
      <c r="V96" s="136"/>
    </row>
    <row r="97">
      <c r="B97" s="536" t="s">
        <v>298</v>
      </c>
      <c r="C97" s="424"/>
      <c r="D97" s="425"/>
      <c r="E97" s="431">
        <f>SUM(I97:I100)</f>
        <v>3000</v>
      </c>
      <c r="F97" s="536" t="s">
        <v>299</v>
      </c>
      <c r="G97" s="424"/>
      <c r="H97" s="425"/>
      <c r="I97" s="537">
        <v>1000.0</v>
      </c>
      <c r="J97" s="20">
        <v>1400.0</v>
      </c>
      <c r="K97" s="430"/>
      <c r="L97" s="431">
        <f>sum(I97:I100) - sum(J97:J100)</f>
        <v>1600</v>
      </c>
      <c r="P97" s="112"/>
      <c r="Q97" s="102"/>
      <c r="R97" s="102"/>
      <c r="S97" s="102"/>
      <c r="T97" s="102"/>
      <c r="U97" s="113"/>
      <c r="V97" s="136"/>
    </row>
    <row r="98">
      <c r="B98" s="432"/>
      <c r="D98" s="433"/>
      <c r="E98" s="434"/>
      <c r="F98" s="543" t="s">
        <v>300</v>
      </c>
      <c r="H98" s="433"/>
      <c r="I98" s="544">
        <v>1000.0</v>
      </c>
      <c r="J98" s="533"/>
      <c r="K98" s="418"/>
      <c r="L98" s="434"/>
      <c r="P98" s="112"/>
      <c r="Q98" s="102"/>
      <c r="R98" s="102"/>
      <c r="S98" s="102"/>
      <c r="T98" s="102"/>
      <c r="U98" s="113"/>
      <c r="V98" s="136"/>
    </row>
    <row r="99">
      <c r="B99" s="438"/>
      <c r="D99" s="439"/>
      <c r="E99" s="37"/>
      <c r="F99" s="545" t="s">
        <v>301</v>
      </c>
      <c r="H99" s="439"/>
      <c r="I99" s="537">
        <v>1000.0</v>
      </c>
      <c r="J99" s="20"/>
      <c r="K99" s="430"/>
      <c r="L99" s="37"/>
      <c r="P99" s="112"/>
      <c r="Q99" s="102"/>
      <c r="R99" s="102"/>
      <c r="S99" s="102"/>
      <c r="T99" s="102"/>
      <c r="U99" s="113"/>
      <c r="V99" s="136"/>
    </row>
    <row r="100">
      <c r="B100" s="442"/>
      <c r="C100" s="443"/>
      <c r="D100" s="444"/>
      <c r="E100" s="445"/>
      <c r="F100" s="542"/>
      <c r="G100" s="443"/>
      <c r="H100" s="444"/>
      <c r="I100" s="539"/>
      <c r="J100" s="533"/>
      <c r="K100" s="418"/>
      <c r="L100" s="445"/>
      <c r="P100" s="112"/>
      <c r="Q100" s="102"/>
      <c r="R100" s="102"/>
      <c r="S100" s="102"/>
      <c r="T100" s="102"/>
      <c r="U100" s="113"/>
      <c r="V100" s="136"/>
    </row>
    <row r="101">
      <c r="B101" s="536" t="s">
        <v>302</v>
      </c>
      <c r="C101" s="424"/>
      <c r="D101" s="425"/>
      <c r="E101" s="431">
        <f>SUM(I101:I104)</f>
        <v>2000</v>
      </c>
      <c r="F101" s="536" t="s">
        <v>303</v>
      </c>
      <c r="G101" s="424"/>
      <c r="H101" s="425"/>
      <c r="I101" s="537">
        <v>2000.0</v>
      </c>
      <c r="J101" s="20"/>
      <c r="K101" s="430"/>
      <c r="L101" s="431">
        <f>sum(I101:I104) - sum(J101:J104)</f>
        <v>2000</v>
      </c>
      <c r="P101" s="298"/>
    </row>
    <row r="102">
      <c r="B102" s="432"/>
      <c r="D102" s="433"/>
      <c r="E102" s="434"/>
      <c r="F102" s="543" t="s">
        <v>304</v>
      </c>
      <c r="H102" s="433"/>
      <c r="I102" s="544"/>
      <c r="J102" s="533"/>
      <c r="K102" s="418"/>
      <c r="L102" s="434"/>
      <c r="P102" s="298"/>
    </row>
    <row r="103">
      <c r="B103" s="438"/>
      <c r="D103" s="439"/>
      <c r="E103" s="37"/>
      <c r="F103" s="540"/>
      <c r="H103" s="439"/>
      <c r="I103" s="541"/>
      <c r="J103" s="20"/>
      <c r="K103" s="430"/>
      <c r="L103" s="37"/>
      <c r="P103" s="298"/>
    </row>
    <row r="104">
      <c r="B104" s="442"/>
      <c r="C104" s="443"/>
      <c r="D104" s="444"/>
      <c r="E104" s="445"/>
      <c r="F104" s="542"/>
      <c r="G104" s="443"/>
      <c r="H104" s="444"/>
      <c r="I104" s="539"/>
      <c r="J104" s="533"/>
      <c r="K104" s="418"/>
      <c r="L104" s="445"/>
      <c r="P104" s="298"/>
    </row>
    <row r="105">
      <c r="B105" s="536" t="s">
        <v>73</v>
      </c>
      <c r="C105" s="424"/>
      <c r="D105" s="425"/>
      <c r="E105" s="431">
        <f>SUM(I105:I108)</f>
        <v>7000</v>
      </c>
      <c r="F105" s="536" t="s">
        <v>305</v>
      </c>
      <c r="G105" s="424"/>
      <c r="H105" s="425"/>
      <c r="I105" s="537">
        <v>3000.0</v>
      </c>
      <c r="J105" s="20"/>
      <c r="K105" s="430"/>
      <c r="L105" s="431">
        <f>sum(I105:I108) - sum(J105:J108)</f>
        <v>7000</v>
      </c>
      <c r="P105" s="298"/>
    </row>
    <row r="106">
      <c r="B106" s="432"/>
      <c r="D106" s="433"/>
      <c r="E106" s="434"/>
      <c r="F106" s="543" t="s">
        <v>306</v>
      </c>
      <c r="H106" s="433"/>
      <c r="I106" s="544">
        <v>3000.0</v>
      </c>
      <c r="J106" s="533"/>
      <c r="K106" s="418"/>
      <c r="L106" s="434"/>
      <c r="P106" s="298"/>
    </row>
    <row r="107">
      <c r="B107" s="438"/>
      <c r="D107" s="439"/>
      <c r="E107" s="37"/>
      <c r="F107" s="545" t="s">
        <v>307</v>
      </c>
      <c r="H107" s="439"/>
      <c r="I107" s="537">
        <v>1000.0</v>
      </c>
      <c r="J107" s="20"/>
      <c r="K107" s="430"/>
      <c r="L107" s="37"/>
      <c r="P107" s="298"/>
    </row>
    <row r="108">
      <c r="B108" s="442"/>
      <c r="C108" s="443"/>
      <c r="D108" s="444"/>
      <c r="E108" s="445"/>
      <c r="F108" s="542"/>
      <c r="G108" s="443"/>
      <c r="H108" s="444"/>
      <c r="I108" s="539"/>
      <c r="J108" s="533"/>
      <c r="K108" s="418"/>
      <c r="L108" s="445"/>
      <c r="P108" s="298"/>
    </row>
    <row r="109">
      <c r="B109" s="536" t="s">
        <v>119</v>
      </c>
      <c r="C109" s="424"/>
      <c r="D109" s="425"/>
      <c r="E109" s="431">
        <f>SUM(I109:I112)</f>
        <v>5000</v>
      </c>
      <c r="F109" s="536" t="s">
        <v>308</v>
      </c>
      <c r="G109" s="424"/>
      <c r="H109" s="425"/>
      <c r="I109" s="537">
        <v>5000.0</v>
      </c>
      <c r="J109" s="20"/>
      <c r="K109" s="430"/>
      <c r="L109" s="431">
        <f>sum(I109:I112) - sum(J109:J112)</f>
        <v>5000</v>
      </c>
      <c r="P109" s="298"/>
    </row>
    <row r="110">
      <c r="B110" s="432"/>
      <c r="D110" s="433"/>
      <c r="E110" s="434"/>
      <c r="F110" s="538"/>
      <c r="H110" s="433"/>
      <c r="I110" s="539"/>
      <c r="J110" s="533"/>
      <c r="K110" s="418"/>
      <c r="L110" s="434"/>
      <c r="P110" s="298"/>
    </row>
    <row r="111">
      <c r="B111" s="438"/>
      <c r="D111" s="439"/>
      <c r="E111" s="37"/>
      <c r="F111" s="540"/>
      <c r="H111" s="439"/>
      <c r="I111" s="541"/>
      <c r="J111" s="20"/>
      <c r="K111" s="430"/>
      <c r="L111" s="37"/>
      <c r="P111" s="298"/>
    </row>
    <row r="112">
      <c r="B112" s="442"/>
      <c r="C112" s="443"/>
      <c r="D112" s="444"/>
      <c r="E112" s="445"/>
      <c r="F112" s="542"/>
      <c r="G112" s="443"/>
      <c r="H112" s="444"/>
      <c r="I112" s="539"/>
      <c r="J112" s="533"/>
      <c r="K112" s="418"/>
      <c r="L112" s="445"/>
      <c r="P112" s="298"/>
    </row>
    <row r="113">
      <c r="B113" s="536" t="s">
        <v>142</v>
      </c>
      <c r="C113" s="424"/>
      <c r="D113" s="425"/>
      <c r="E113" s="431">
        <f>SUM(I113:I116)</f>
        <v>2000</v>
      </c>
      <c r="F113" s="536" t="s">
        <v>309</v>
      </c>
      <c r="G113" s="424"/>
      <c r="H113" s="425"/>
      <c r="I113" s="537">
        <v>1000.0</v>
      </c>
      <c r="J113" s="20"/>
      <c r="K113" s="430"/>
      <c r="L113" s="431">
        <f>sum(I113:I116) - sum(J113:J116)</f>
        <v>2000</v>
      </c>
      <c r="P113" s="298"/>
    </row>
    <row r="114">
      <c r="B114" s="432"/>
      <c r="D114" s="433"/>
      <c r="E114" s="434"/>
      <c r="F114" s="543" t="s">
        <v>310</v>
      </c>
      <c r="H114" s="433"/>
      <c r="I114" s="544">
        <v>1000.0</v>
      </c>
      <c r="J114" s="533"/>
      <c r="K114" s="418"/>
      <c r="L114" s="434"/>
      <c r="P114" s="298"/>
    </row>
    <row r="115">
      <c r="B115" s="438"/>
      <c r="D115" s="439"/>
      <c r="E115" s="37"/>
      <c r="F115" s="545" t="s">
        <v>311</v>
      </c>
      <c r="H115" s="439"/>
      <c r="I115" s="537"/>
      <c r="J115" s="20"/>
      <c r="K115" s="430"/>
      <c r="L115" s="37"/>
      <c r="P115" s="298"/>
    </row>
    <row r="116">
      <c r="B116" s="442"/>
      <c r="C116" s="443"/>
      <c r="D116" s="444"/>
      <c r="E116" s="445"/>
      <c r="F116" s="546" t="s">
        <v>304</v>
      </c>
      <c r="G116" s="443"/>
      <c r="H116" s="444"/>
      <c r="I116" s="544"/>
      <c r="J116" s="533"/>
      <c r="K116" s="418"/>
      <c r="L116" s="445"/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217">
    <mergeCell ref="B42:H43"/>
    <mergeCell ref="B44:D44"/>
    <mergeCell ref="F44:H44"/>
    <mergeCell ref="J44:K44"/>
    <mergeCell ref="E45:E50"/>
    <mergeCell ref="F45:H45"/>
    <mergeCell ref="F50:H50"/>
    <mergeCell ref="J50:K50"/>
    <mergeCell ref="J52:K52"/>
    <mergeCell ref="F51:H51"/>
    <mergeCell ref="J51:K51"/>
    <mergeCell ref="F52:H52"/>
    <mergeCell ref="F53:H53"/>
    <mergeCell ref="J53:K53"/>
    <mergeCell ref="F54:H54"/>
    <mergeCell ref="F55:H55"/>
    <mergeCell ref="J59:K59"/>
    <mergeCell ref="J60:K60"/>
    <mergeCell ref="F56:H56"/>
    <mergeCell ref="F57:H57"/>
    <mergeCell ref="F58:H58"/>
    <mergeCell ref="F59:H59"/>
    <mergeCell ref="F60:H60"/>
    <mergeCell ref="F61:H61"/>
    <mergeCell ref="F62:H62"/>
    <mergeCell ref="J84:K84"/>
    <mergeCell ref="J85:K85"/>
    <mergeCell ref="J89:K89"/>
    <mergeCell ref="F89:H89"/>
    <mergeCell ref="F90:H90"/>
    <mergeCell ref="J45:K45"/>
    <mergeCell ref="L45:L50"/>
    <mergeCell ref="J46:K46"/>
    <mergeCell ref="J47:K47"/>
    <mergeCell ref="J48:K48"/>
    <mergeCell ref="J49:K49"/>
    <mergeCell ref="L51:L54"/>
    <mergeCell ref="J58:K58"/>
    <mergeCell ref="J61:K61"/>
    <mergeCell ref="J62:K62"/>
    <mergeCell ref="J63:K63"/>
    <mergeCell ref="J54:K54"/>
    <mergeCell ref="J55:K55"/>
    <mergeCell ref="L55:L57"/>
    <mergeCell ref="J56:K56"/>
    <mergeCell ref="J57:K57"/>
    <mergeCell ref="L58:L59"/>
    <mergeCell ref="J64:K64"/>
    <mergeCell ref="J66:K66"/>
    <mergeCell ref="J67:K67"/>
    <mergeCell ref="J68:K68"/>
    <mergeCell ref="J70:K70"/>
    <mergeCell ref="J72:K72"/>
    <mergeCell ref="J74:K74"/>
    <mergeCell ref="J75:K75"/>
    <mergeCell ref="J76:K76"/>
    <mergeCell ref="J77:K77"/>
    <mergeCell ref="J80:K80"/>
    <mergeCell ref="J86:K86"/>
    <mergeCell ref="J87:K87"/>
    <mergeCell ref="J88:K88"/>
    <mergeCell ref="J90:K90"/>
    <mergeCell ref="J91:K91"/>
    <mergeCell ref="J92:K92"/>
    <mergeCell ref="J93:K93"/>
    <mergeCell ref="J94:K94"/>
    <mergeCell ref="J95:K95"/>
    <mergeCell ref="J96:K96"/>
    <mergeCell ref="J97:K97"/>
    <mergeCell ref="B2:F2"/>
    <mergeCell ref="H2:H3"/>
    <mergeCell ref="I2:I3"/>
    <mergeCell ref="L2:M2"/>
    <mergeCell ref="W2:Y2"/>
    <mergeCell ref="X3:Y3"/>
    <mergeCell ref="X4:Y4"/>
    <mergeCell ref="X12:Y12"/>
    <mergeCell ref="X13:Y13"/>
    <mergeCell ref="X14:Y14"/>
    <mergeCell ref="L15:M15"/>
    <mergeCell ref="X15:Y15"/>
    <mergeCell ref="X5:Y5"/>
    <mergeCell ref="X6:Y6"/>
    <mergeCell ref="X7:Y7"/>
    <mergeCell ref="X8:Y8"/>
    <mergeCell ref="X9:Y9"/>
    <mergeCell ref="X10:Y10"/>
    <mergeCell ref="X11:Y11"/>
    <mergeCell ref="X16:Y16"/>
    <mergeCell ref="X17:Y17"/>
    <mergeCell ref="X18:Y18"/>
    <mergeCell ref="X19:Y19"/>
    <mergeCell ref="X20:Y20"/>
    <mergeCell ref="X21:Y21"/>
    <mergeCell ref="X22:Y22"/>
    <mergeCell ref="X23:Y23"/>
    <mergeCell ref="L24:M24"/>
    <mergeCell ref="X24:Y24"/>
    <mergeCell ref="L33:M33"/>
    <mergeCell ref="I42:I43"/>
    <mergeCell ref="J42:K43"/>
    <mergeCell ref="L42:L43"/>
    <mergeCell ref="F46:H46"/>
    <mergeCell ref="F47:H47"/>
    <mergeCell ref="F48:H48"/>
    <mergeCell ref="F49:H49"/>
    <mergeCell ref="F69:H69"/>
    <mergeCell ref="J69:K69"/>
    <mergeCell ref="F63:H63"/>
    <mergeCell ref="F64:H64"/>
    <mergeCell ref="F65:H65"/>
    <mergeCell ref="J65:K65"/>
    <mergeCell ref="F66:H66"/>
    <mergeCell ref="F67:H67"/>
    <mergeCell ref="F68:H68"/>
    <mergeCell ref="B45:D50"/>
    <mergeCell ref="B51:D54"/>
    <mergeCell ref="E51:E54"/>
    <mergeCell ref="B55:D57"/>
    <mergeCell ref="E55:E57"/>
    <mergeCell ref="B58:D59"/>
    <mergeCell ref="E58:E59"/>
    <mergeCell ref="B60:D64"/>
    <mergeCell ref="E60:E64"/>
    <mergeCell ref="B65:D68"/>
    <mergeCell ref="E65:E68"/>
    <mergeCell ref="B69:D70"/>
    <mergeCell ref="E69:E70"/>
    <mergeCell ref="E71:E72"/>
    <mergeCell ref="F70:H70"/>
    <mergeCell ref="F71:H71"/>
    <mergeCell ref="J71:K71"/>
    <mergeCell ref="F72:H72"/>
    <mergeCell ref="B71:D72"/>
    <mergeCell ref="B82:H83"/>
    <mergeCell ref="I82:I83"/>
    <mergeCell ref="J82:K83"/>
    <mergeCell ref="B84:D84"/>
    <mergeCell ref="F84:H84"/>
    <mergeCell ref="F85:H85"/>
    <mergeCell ref="B85:D88"/>
    <mergeCell ref="E85:E88"/>
    <mergeCell ref="F86:H86"/>
    <mergeCell ref="F87:H87"/>
    <mergeCell ref="F88:H88"/>
    <mergeCell ref="B89:D92"/>
    <mergeCell ref="E89:E92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B105:D108"/>
    <mergeCell ref="B109:D112"/>
    <mergeCell ref="E109:E112"/>
    <mergeCell ref="B113:D116"/>
    <mergeCell ref="E113:E116"/>
    <mergeCell ref="B93:D96"/>
    <mergeCell ref="E93:E96"/>
    <mergeCell ref="B97:D100"/>
    <mergeCell ref="E97:E100"/>
    <mergeCell ref="B101:D104"/>
    <mergeCell ref="E101:E104"/>
    <mergeCell ref="E105:E108"/>
    <mergeCell ref="F112:H112"/>
    <mergeCell ref="F113:H113"/>
    <mergeCell ref="F114:H114"/>
    <mergeCell ref="F115:H115"/>
    <mergeCell ref="F116:H116"/>
    <mergeCell ref="F105:H105"/>
    <mergeCell ref="F106:H106"/>
    <mergeCell ref="F107:H107"/>
    <mergeCell ref="F108:H108"/>
    <mergeCell ref="F109:H109"/>
    <mergeCell ref="F110:H110"/>
    <mergeCell ref="F111:H111"/>
    <mergeCell ref="L93:L96"/>
    <mergeCell ref="L97:L100"/>
    <mergeCell ref="L101:L104"/>
    <mergeCell ref="L105:L108"/>
    <mergeCell ref="L109:L112"/>
    <mergeCell ref="L113:L116"/>
    <mergeCell ref="L60:L64"/>
    <mergeCell ref="L65:L68"/>
    <mergeCell ref="L69:L70"/>
    <mergeCell ref="L71:L72"/>
    <mergeCell ref="L82:L83"/>
    <mergeCell ref="L85:L88"/>
    <mergeCell ref="L89:L92"/>
    <mergeCell ref="J98:K98"/>
    <mergeCell ref="J99:K99"/>
    <mergeCell ref="J100:K100"/>
    <mergeCell ref="J101:K101"/>
    <mergeCell ref="J102:K102"/>
    <mergeCell ref="J103:K103"/>
    <mergeCell ref="J104:K104"/>
    <mergeCell ref="J112:K112"/>
    <mergeCell ref="J113:K113"/>
    <mergeCell ref="J114:K114"/>
    <mergeCell ref="J115:K115"/>
    <mergeCell ref="J116:K116"/>
    <mergeCell ref="J105:K105"/>
    <mergeCell ref="J106:K106"/>
    <mergeCell ref="J107:K107"/>
    <mergeCell ref="J108:K108"/>
    <mergeCell ref="J109:K109"/>
    <mergeCell ref="J110:K110"/>
    <mergeCell ref="J111:K111"/>
  </mergeCells>
  <conditionalFormatting sqref="J45:K72 J85:K116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W4:W24 I4:I35 B4:B39 P3:P1000">
      <formula1>OR(NOT(ISERROR(DATEVALUE(B3))), AND(ISNUMBER(B3), LEFT(CELL("format", B3))="D"))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3.63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61489</v>
      </c>
      <c r="L2" s="84" t="s">
        <v>34</v>
      </c>
      <c r="M2" s="86"/>
      <c r="N2" s="400">
        <f>M4+M5+M8+M9+M12</f>
        <v>1110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  <c r="W2" s="3" t="s">
        <v>261</v>
      </c>
      <c r="X2" s="86"/>
      <c r="Y2" s="81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46079.0</v>
      </c>
      <c r="Q3" s="132" t="s">
        <v>123</v>
      </c>
      <c r="R3" s="132" t="s">
        <v>145</v>
      </c>
      <c r="S3" s="132" t="s">
        <v>51</v>
      </c>
      <c r="T3" s="132">
        <f>125</f>
        <v>125</v>
      </c>
      <c r="U3" s="109"/>
      <c r="V3" s="136"/>
      <c r="W3" s="510" t="s">
        <v>6</v>
      </c>
      <c r="X3" s="511" t="s">
        <v>262</v>
      </c>
      <c r="Y3" s="93"/>
    </row>
    <row r="4">
      <c r="B4" s="317">
        <v>46078.0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Thursday</v>
      </c>
      <c r="I4" s="319">
        <v>46079.0</v>
      </c>
      <c r="J4" s="170">
        <f t="array" ref="J4">sum(IF(($P$3:$P$100=I4), $T$3:$T$100, 0))</f>
        <v>2750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565</v>
      </c>
      <c r="N4" s="322">
        <f>'Feb 26'!M4</f>
        <v>6540</v>
      </c>
      <c r="P4" s="404">
        <v>46079.0</v>
      </c>
      <c r="Q4" s="132" t="s">
        <v>26</v>
      </c>
      <c r="R4" s="132" t="s">
        <v>26</v>
      </c>
      <c r="S4" s="132" t="s">
        <v>51</v>
      </c>
      <c r="T4" s="132">
        <v>25.0</v>
      </c>
      <c r="U4" s="109"/>
      <c r="V4" s="136"/>
      <c r="W4" s="512">
        <v>46099.0</v>
      </c>
      <c r="X4" s="36" t="s">
        <v>263</v>
      </c>
      <c r="Y4" s="439"/>
    </row>
    <row r="5">
      <c r="B5" s="317">
        <v>46079.0</v>
      </c>
      <c r="C5" s="108"/>
      <c r="D5" s="142">
        <v>20000.0</v>
      </c>
      <c r="E5" s="108" t="s">
        <v>120</v>
      </c>
      <c r="F5" s="174" t="s">
        <v>136</v>
      </c>
      <c r="H5" s="318" t="str">
        <f t="shared" si="1"/>
        <v>Friday</v>
      </c>
      <c r="I5" s="319">
        <v>46080.0</v>
      </c>
      <c r="J5" s="170">
        <f t="array" ref="J5">sum(IF(($P$3:$P$100=I5), $T$3:$T$100, 0))</f>
        <v>8020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417</v>
      </c>
      <c r="N5" s="326">
        <f>'Feb 26'!M5</f>
        <v>7</v>
      </c>
      <c r="P5" s="404">
        <v>46079.0</v>
      </c>
      <c r="Q5" s="132" t="s">
        <v>131</v>
      </c>
      <c r="R5" s="132" t="s">
        <v>131</v>
      </c>
      <c r="S5" s="132" t="s">
        <v>51</v>
      </c>
      <c r="T5" s="132">
        <v>2600.0</v>
      </c>
      <c r="U5" s="109" t="s">
        <v>250</v>
      </c>
      <c r="V5" s="136"/>
      <c r="W5" s="513">
        <v>46107.0</v>
      </c>
      <c r="X5" s="514" t="s">
        <v>264</v>
      </c>
      <c r="Y5" s="433"/>
    </row>
    <row r="6">
      <c r="B6" s="317">
        <v>46079.0</v>
      </c>
      <c r="C6" s="108"/>
      <c r="D6" s="142">
        <v>20000.0</v>
      </c>
      <c r="E6" s="108" t="s">
        <v>136</v>
      </c>
      <c r="F6" s="174" t="s">
        <v>51</v>
      </c>
      <c r="H6" s="318" t="str">
        <f t="shared" si="1"/>
        <v>Saturday</v>
      </c>
      <c r="I6" s="319">
        <v>46081.0</v>
      </c>
      <c r="J6" s="170">
        <f t="array" ref="J6">sum(IF(($P$3:$P$100=I6), $T$3:$T$100, 0))</f>
        <v>2960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9</v>
      </c>
      <c r="N6" s="326">
        <f>'Feb 26'!M6</f>
        <v>9</v>
      </c>
      <c r="P6" s="404">
        <v>46080.0</v>
      </c>
      <c r="Q6" s="132" t="s">
        <v>26</v>
      </c>
      <c r="R6" s="132" t="s">
        <v>26</v>
      </c>
      <c r="S6" s="132" t="s">
        <v>51</v>
      </c>
      <c r="T6" s="132">
        <v>20.0</v>
      </c>
      <c r="U6" s="109"/>
      <c r="V6" s="136"/>
      <c r="W6" s="547">
        <v>46085.0</v>
      </c>
      <c r="X6" s="548" t="s">
        <v>312</v>
      </c>
      <c r="Y6" s="439"/>
    </row>
    <row r="7">
      <c r="B7" s="317">
        <v>46085.0</v>
      </c>
      <c r="C7" s="142"/>
      <c r="D7" s="142">
        <v>5000.0</v>
      </c>
      <c r="E7" s="108" t="s">
        <v>120</v>
      </c>
      <c r="F7" s="174" t="s">
        <v>136</v>
      </c>
      <c r="H7" s="318" t="str">
        <f t="shared" si="1"/>
        <v>Sunday</v>
      </c>
      <c r="I7" s="319">
        <v>46082.0</v>
      </c>
      <c r="J7" s="170">
        <f t="array" ref="J7">sum(IF(($P$3:$P$100=I7), $T$3:$T$100, 0))</f>
        <v>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'Feb 26'!M7</f>
        <v>285</v>
      </c>
      <c r="P7" s="404">
        <v>46080.0</v>
      </c>
      <c r="Q7" s="132" t="s">
        <v>119</v>
      </c>
      <c r="R7" s="132" t="s">
        <v>141</v>
      </c>
      <c r="S7" s="132" t="s">
        <v>51</v>
      </c>
      <c r="T7" s="132">
        <v>8000.0</v>
      </c>
      <c r="U7" s="109"/>
      <c r="V7" s="136"/>
      <c r="W7" s="516"/>
      <c r="X7" s="517"/>
      <c r="Y7" s="433"/>
    </row>
    <row r="8">
      <c r="B8" s="317">
        <v>46085.0</v>
      </c>
      <c r="C8" s="108"/>
      <c r="D8" s="142">
        <v>5000.0</v>
      </c>
      <c r="E8" s="108" t="s">
        <v>136</v>
      </c>
      <c r="F8" s="174" t="s">
        <v>51</v>
      </c>
      <c r="H8" s="318" t="str">
        <f t="shared" si="1"/>
        <v>Monday</v>
      </c>
      <c r="I8" s="319">
        <v>46083.0</v>
      </c>
      <c r="J8" s="170">
        <f t="array" ref="J8">sum(IF(($P$3:$P$100=I8), $T$3:$T$100, 0))</f>
        <v>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7</v>
      </c>
      <c r="N8" s="326">
        <f>'Feb 26'!M8</f>
        <v>66</v>
      </c>
      <c r="P8" s="404">
        <v>46081.0</v>
      </c>
      <c r="Q8" s="132" t="s">
        <v>123</v>
      </c>
      <c r="R8" s="132" t="s">
        <v>144</v>
      </c>
      <c r="S8" s="132" t="s">
        <v>51</v>
      </c>
      <c r="T8" s="132">
        <v>260.0</v>
      </c>
      <c r="U8" s="109" t="s">
        <v>313</v>
      </c>
      <c r="V8" s="136"/>
      <c r="W8" s="515"/>
      <c r="X8" s="43"/>
      <c r="Y8" s="439"/>
    </row>
    <row r="9">
      <c r="B9" s="317">
        <v>46091.0</v>
      </c>
      <c r="C9" s="108">
        <v>10.0</v>
      </c>
      <c r="D9" s="108">
        <v>2040.0</v>
      </c>
      <c r="E9" s="108" t="s">
        <v>140</v>
      </c>
      <c r="F9" s="174" t="s">
        <v>12</v>
      </c>
      <c r="H9" s="318" t="str">
        <f t="shared" si="1"/>
        <v>Tuesday</v>
      </c>
      <c r="I9" s="319">
        <v>46084.0</v>
      </c>
      <c r="J9" s="170">
        <f t="array" ref="J9">sum(IF(($P$3:$P$100=I9), $T$3:$T$100, 0))</f>
        <v>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'Feb 26'!M9</f>
        <v>2</v>
      </c>
      <c r="P9" s="404">
        <v>46081.0</v>
      </c>
      <c r="Q9" s="132" t="s">
        <v>119</v>
      </c>
      <c r="R9" s="132" t="s">
        <v>142</v>
      </c>
      <c r="S9" s="132" t="s">
        <v>51</v>
      </c>
      <c r="T9" s="132">
        <v>25.0</v>
      </c>
      <c r="U9" s="109"/>
      <c r="V9" s="136"/>
      <c r="W9" s="516"/>
      <c r="X9" s="517"/>
      <c r="Y9" s="433"/>
    </row>
    <row r="10">
      <c r="B10" s="317">
        <v>46098.0</v>
      </c>
      <c r="C10" s="142"/>
      <c r="D10" s="142">
        <v>15000.0</v>
      </c>
      <c r="E10" s="108" t="s">
        <v>120</v>
      </c>
      <c r="F10" s="174" t="s">
        <v>136</v>
      </c>
      <c r="H10" s="318" t="str">
        <f t="shared" si="1"/>
        <v>Wednesday</v>
      </c>
      <c r="I10" s="319">
        <v>46085.0</v>
      </c>
      <c r="J10" s="170">
        <f t="array" ref="J10">sum(IF(($P$3:$P$100=I10), $T$3:$T$100, 0))</f>
        <v>15025</v>
      </c>
      <c r="L10" s="333" t="s">
        <v>137</v>
      </c>
      <c r="M10" s="374">
        <f>N10-10000</f>
        <v>20000</v>
      </c>
      <c r="N10" s="326">
        <f>'Feb 26'!M10</f>
        <v>30000</v>
      </c>
      <c r="P10" s="404">
        <v>46081.0</v>
      </c>
      <c r="Q10" s="132" t="s">
        <v>131</v>
      </c>
      <c r="R10" s="132" t="s">
        <v>131</v>
      </c>
      <c r="S10" s="132" t="s">
        <v>51</v>
      </c>
      <c r="T10" s="132">
        <v>200.0</v>
      </c>
      <c r="U10" s="109" t="s">
        <v>314</v>
      </c>
      <c r="V10" s="136"/>
      <c r="W10" s="515"/>
      <c r="X10" s="43"/>
      <c r="Y10" s="439"/>
    </row>
    <row r="11">
      <c r="B11" s="317">
        <v>46099.0</v>
      </c>
      <c r="C11" s="108"/>
      <c r="D11" s="142">
        <v>4000.0</v>
      </c>
      <c r="E11" s="108" t="s">
        <v>136</v>
      </c>
      <c r="F11" s="174" t="s">
        <v>12</v>
      </c>
      <c r="H11" s="318" t="str">
        <f t="shared" si="1"/>
        <v>Thursday</v>
      </c>
      <c r="I11" s="319">
        <v>46086.0</v>
      </c>
      <c r="J11" s="170">
        <f t="array" ref="J11">sum(IF(($P$3:$P$100=I11), $T$3:$T$100, 0))</f>
        <v>2210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>'Feb 26'!M11</f>
        <v>7550</v>
      </c>
      <c r="P11" s="404">
        <v>46085.0</v>
      </c>
      <c r="Q11" s="132" t="s">
        <v>131</v>
      </c>
      <c r="R11" s="132" t="s">
        <v>148</v>
      </c>
      <c r="S11" s="132" t="s">
        <v>51</v>
      </c>
      <c r="T11" s="132">
        <v>25.0</v>
      </c>
      <c r="U11" s="109"/>
      <c r="V11" s="136"/>
      <c r="W11" s="516"/>
      <c r="X11" s="517"/>
      <c r="Y11" s="433"/>
    </row>
    <row r="12">
      <c r="B12" s="317">
        <v>46099.0</v>
      </c>
      <c r="C12" s="108"/>
      <c r="D12" s="142">
        <v>12000.0</v>
      </c>
      <c r="E12" s="108" t="s">
        <v>136</v>
      </c>
      <c r="F12" s="174" t="s">
        <v>51</v>
      </c>
      <c r="H12" s="318" t="str">
        <f t="shared" si="1"/>
        <v>Friday</v>
      </c>
      <c r="I12" s="319">
        <v>46087.0</v>
      </c>
      <c r="J12" s="170">
        <f t="array" ref="J12">sum(IF(($P$3:$P$100=I12), $T$3:$T$100, 0))</f>
        <v>50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119</v>
      </c>
      <c r="N12" s="326">
        <f>'Feb 26'!M12</f>
        <v>4106</v>
      </c>
      <c r="P12" s="404">
        <v>46085.0</v>
      </c>
      <c r="Q12" s="132" t="s">
        <v>114</v>
      </c>
      <c r="R12" s="132" t="s">
        <v>115</v>
      </c>
      <c r="S12" s="132" t="s">
        <v>51</v>
      </c>
      <c r="T12" s="132">
        <v>13000.0</v>
      </c>
      <c r="U12" s="109"/>
      <c r="V12" s="136"/>
      <c r="W12" s="515"/>
      <c r="X12" s="43"/>
      <c r="Y12" s="439"/>
    </row>
    <row r="13">
      <c r="B13" s="317">
        <v>46099.0</v>
      </c>
      <c r="C13" s="108"/>
      <c r="D13" s="142">
        <f>200+100</f>
        <v>300</v>
      </c>
      <c r="E13" s="108" t="s">
        <v>143</v>
      </c>
      <c r="F13" s="174" t="s">
        <v>51</v>
      </c>
      <c r="H13" s="318" t="str">
        <f t="shared" si="1"/>
        <v>Saturday</v>
      </c>
      <c r="I13" s="319">
        <v>46088.0</v>
      </c>
      <c r="J13" s="170">
        <f t="array" ref="J13">sum(IF(($P$3:$P$100=I13), $T$3:$T$100, 0))</f>
        <v>2500</v>
      </c>
      <c r="L13" s="338"/>
      <c r="M13" s="339"/>
      <c r="N13" s="480" t="str">
        <f>'Feb 26'!M13</f>
        <v/>
      </c>
      <c r="P13" s="404">
        <v>46085.0</v>
      </c>
      <c r="Q13" s="132" t="s">
        <v>114</v>
      </c>
      <c r="R13" s="132" t="s">
        <v>126</v>
      </c>
      <c r="S13" s="132" t="s">
        <v>51</v>
      </c>
      <c r="T13" s="132">
        <v>1080.0</v>
      </c>
      <c r="U13" s="109"/>
      <c r="V13" s="136"/>
      <c r="W13" s="516"/>
      <c r="X13" s="517"/>
      <c r="Y13" s="433"/>
    </row>
    <row r="14">
      <c r="B14" s="317">
        <v>46108.0</v>
      </c>
      <c r="C14" s="108"/>
      <c r="D14" s="142">
        <v>500.0</v>
      </c>
      <c r="E14" s="108" t="s">
        <v>136</v>
      </c>
      <c r="F14" s="174" t="s">
        <v>12</v>
      </c>
      <c r="H14" s="318" t="str">
        <f t="shared" si="1"/>
        <v>Sunday</v>
      </c>
      <c r="I14" s="319">
        <v>46089.0</v>
      </c>
      <c r="J14" s="170">
        <f t="array" ref="J14">sum(IF(($P$3:$P$100=I14), $T$3:$T$100, 0))</f>
        <v>1240</v>
      </c>
      <c r="P14" s="404">
        <v>46085.0</v>
      </c>
      <c r="Q14" s="132" t="s">
        <v>114</v>
      </c>
      <c r="R14" s="132" t="s">
        <v>133</v>
      </c>
      <c r="S14" s="132" t="s">
        <v>51</v>
      </c>
      <c r="T14" s="132">
        <v>800.0</v>
      </c>
      <c r="U14" s="109"/>
      <c r="V14" s="136"/>
      <c r="W14" s="515"/>
      <c r="X14" s="43"/>
      <c r="Y14" s="439"/>
    </row>
    <row r="15">
      <c r="B15" s="317">
        <v>46108.0</v>
      </c>
      <c r="C15" s="108"/>
      <c r="D15" s="108">
        <v>50.0</v>
      </c>
      <c r="E15" s="108" t="s">
        <v>143</v>
      </c>
      <c r="F15" s="174" t="s">
        <v>12</v>
      </c>
      <c r="H15" s="318" t="str">
        <f t="shared" si="1"/>
        <v>Monday</v>
      </c>
      <c r="I15" s="319">
        <v>46090.0</v>
      </c>
      <c r="J15" s="170">
        <f t="array" ref="J15">sum(IF(($P$3:$P$100=I15), $T$3:$T$100, 0))</f>
        <v>4710</v>
      </c>
      <c r="L15" s="137" t="s">
        <v>72</v>
      </c>
      <c r="M15" s="86"/>
      <c r="N15" s="138">
        <f>sum(M17:M22)</f>
        <v>7550</v>
      </c>
      <c r="P15" s="404">
        <v>46085.0</v>
      </c>
      <c r="Q15" s="132" t="s">
        <v>119</v>
      </c>
      <c r="R15" s="132" t="s">
        <v>141</v>
      </c>
      <c r="S15" s="132" t="s">
        <v>51</v>
      </c>
      <c r="T15" s="132">
        <v>120.0</v>
      </c>
      <c r="U15" s="109"/>
      <c r="V15" s="136"/>
      <c r="W15" s="516"/>
      <c r="X15" s="517"/>
      <c r="Y15" s="433"/>
    </row>
    <row r="16">
      <c r="B16" s="317">
        <v>46103.0</v>
      </c>
      <c r="C16" s="142"/>
      <c r="D16" s="142">
        <v>12.0</v>
      </c>
      <c r="E16" s="108" t="s">
        <v>136</v>
      </c>
      <c r="F16" s="174" t="s">
        <v>139</v>
      </c>
      <c r="H16" s="318" t="str">
        <f t="shared" si="1"/>
        <v>Tuesday</v>
      </c>
      <c r="I16" s="319">
        <v>46091.0</v>
      </c>
      <c r="J16" s="170">
        <f t="array" ref="J16">sum(IF(($P$3:$P$100=I16), $T$3:$T$100, 0))</f>
        <v>500</v>
      </c>
      <c r="L16" s="139" t="s">
        <v>6</v>
      </c>
      <c r="M16" s="140" t="s">
        <v>74</v>
      </c>
      <c r="N16" s="141" t="s">
        <v>35</v>
      </c>
      <c r="P16" s="404">
        <v>46081.0</v>
      </c>
      <c r="Q16" s="132" t="s">
        <v>131</v>
      </c>
      <c r="R16" s="132" t="s">
        <v>149</v>
      </c>
      <c r="S16" s="132" t="s">
        <v>136</v>
      </c>
      <c r="T16" s="132">
        <v>2475.0</v>
      </c>
      <c r="U16" s="109"/>
      <c r="V16" s="136"/>
      <c r="W16" s="515"/>
      <c r="X16" s="43"/>
      <c r="Y16" s="439"/>
    </row>
    <row r="17">
      <c r="B17" s="317"/>
      <c r="C17" s="108"/>
      <c r="D17" s="108"/>
      <c r="E17" s="108"/>
      <c r="F17" s="174"/>
      <c r="H17" s="318" t="str">
        <f t="shared" si="1"/>
        <v>Wednesday</v>
      </c>
      <c r="I17" s="319">
        <v>46092.0</v>
      </c>
      <c r="J17" s="170">
        <f t="array" ref="J17">sum(IF(($P$3:$P$100=I17), $T$3:$T$100, 0))</f>
        <v>0</v>
      </c>
      <c r="L17" s="143">
        <v>45774.0</v>
      </c>
      <c r="M17" s="132">
        <v>2500.0</v>
      </c>
      <c r="N17" s="103" t="s">
        <v>185</v>
      </c>
      <c r="P17" s="404">
        <v>46086.0</v>
      </c>
      <c r="Q17" s="132" t="s">
        <v>131</v>
      </c>
      <c r="R17" s="132" t="s">
        <v>148</v>
      </c>
      <c r="S17" s="132" t="s">
        <v>51</v>
      </c>
      <c r="T17" s="132">
        <f>50+60+10</f>
        <v>120</v>
      </c>
      <c r="U17" s="109" t="s">
        <v>315</v>
      </c>
      <c r="V17" s="136"/>
      <c r="W17" s="516"/>
      <c r="X17" s="517"/>
      <c r="Y17" s="433"/>
    </row>
    <row r="18">
      <c r="B18" s="317"/>
      <c r="C18" s="108"/>
      <c r="D18" s="108"/>
      <c r="E18" s="108"/>
      <c r="F18" s="174"/>
      <c r="H18" s="318" t="str">
        <f t="shared" si="1"/>
        <v>Thursday</v>
      </c>
      <c r="I18" s="319">
        <v>46093.0</v>
      </c>
      <c r="J18" s="170">
        <f t="array" ref="J18">sum(IF(($P$3:$P$100=I18), $T$3:$T$100, 0))</f>
        <v>85</v>
      </c>
      <c r="L18" s="143"/>
      <c r="M18" s="132">
        <v>3000.0</v>
      </c>
      <c r="N18" s="103" t="s">
        <v>187</v>
      </c>
      <c r="P18" s="404">
        <v>46086.0</v>
      </c>
      <c r="Q18" s="132" t="s">
        <v>131</v>
      </c>
      <c r="R18" s="132" t="s">
        <v>131</v>
      </c>
      <c r="S18" s="132" t="s">
        <v>120</v>
      </c>
      <c r="T18" s="132">
        <v>2090.0</v>
      </c>
      <c r="U18" s="109" t="s">
        <v>316</v>
      </c>
      <c r="V18" s="136"/>
      <c r="W18" s="515"/>
      <c r="X18" s="43"/>
      <c r="Y18" s="439"/>
    </row>
    <row r="19">
      <c r="B19" s="317"/>
      <c r="C19" s="112"/>
      <c r="D19" s="108"/>
      <c r="E19" s="108"/>
      <c r="F19" s="174"/>
      <c r="H19" s="318" t="str">
        <f t="shared" si="1"/>
        <v>Friday</v>
      </c>
      <c r="I19" s="319">
        <v>46094.0</v>
      </c>
      <c r="J19" s="170">
        <f t="array" ref="J19">sum(IF(($P$3:$P$100=I19), $T$3:$T$100, 0))</f>
        <v>40</v>
      </c>
      <c r="L19" s="549">
        <v>45979.0</v>
      </c>
      <c r="M19" s="520">
        <v>2050.0</v>
      </c>
      <c r="N19" s="550" t="s">
        <v>239</v>
      </c>
      <c r="P19" s="404">
        <v>46087.0</v>
      </c>
      <c r="Q19" s="132" t="s">
        <v>26</v>
      </c>
      <c r="R19" s="132" t="s">
        <v>26</v>
      </c>
      <c r="S19" s="132" t="s">
        <v>51</v>
      </c>
      <c r="T19" s="132">
        <v>50.0</v>
      </c>
      <c r="U19" s="109"/>
      <c r="V19" s="136"/>
      <c r="W19" s="516"/>
      <c r="X19" s="517"/>
      <c r="Y19" s="433"/>
    </row>
    <row r="20">
      <c r="B20" s="317"/>
      <c r="C20" s="142"/>
      <c r="D20" s="142"/>
      <c r="E20" s="108"/>
      <c r="F20" s="174"/>
      <c r="H20" s="318" t="str">
        <f t="shared" si="1"/>
        <v>Saturday</v>
      </c>
      <c r="I20" s="319">
        <v>46095.0</v>
      </c>
      <c r="J20" s="170">
        <f t="array" ref="J20">sum(IF(($P$3:$P$100=I20), $T$3:$T$100, 0))</f>
        <v>920</v>
      </c>
      <c r="L20" s="148"/>
      <c r="M20" s="132"/>
      <c r="N20" s="185"/>
      <c r="P20" s="404">
        <v>46089.0</v>
      </c>
      <c r="Q20" s="132" t="s">
        <v>119</v>
      </c>
      <c r="R20" s="132" t="s">
        <v>138</v>
      </c>
      <c r="S20" s="132" t="s">
        <v>51</v>
      </c>
      <c r="T20" s="132">
        <f>650+140</f>
        <v>790</v>
      </c>
      <c r="U20" s="109" t="s">
        <v>317</v>
      </c>
      <c r="V20" s="136"/>
      <c r="W20" s="515"/>
      <c r="X20" s="43"/>
      <c r="Y20" s="439"/>
    </row>
    <row r="21">
      <c r="B21" s="317"/>
      <c r="C21" s="108"/>
      <c r="D21" s="108"/>
      <c r="E21" s="108"/>
      <c r="F21" s="174"/>
      <c r="H21" s="318" t="str">
        <f t="shared" si="1"/>
        <v>Sunday</v>
      </c>
      <c r="I21" s="319">
        <v>46096.0</v>
      </c>
      <c r="J21" s="170">
        <f t="array" ref="J21">sum(IF(($P$3:$P$100=I21), $T$3:$T$100, 0))</f>
        <v>0</v>
      </c>
      <c r="L21" s="112"/>
      <c r="M21" s="102"/>
      <c r="N21" s="48"/>
      <c r="P21" s="404">
        <v>46089.0</v>
      </c>
      <c r="Q21" s="132" t="s">
        <v>123</v>
      </c>
      <c r="R21" s="132" t="s">
        <v>145</v>
      </c>
      <c r="S21" s="132" t="s">
        <v>51</v>
      </c>
      <c r="T21" s="132">
        <f>140+170+110</f>
        <v>420</v>
      </c>
      <c r="U21" s="109" t="s">
        <v>318</v>
      </c>
      <c r="V21" s="136"/>
      <c r="W21" s="516"/>
      <c r="X21" s="517"/>
      <c r="Y21" s="433"/>
    </row>
    <row r="22">
      <c r="B22" s="317"/>
      <c r="C22" s="112"/>
      <c r="D22" s="108"/>
      <c r="E22" s="108"/>
      <c r="F22" s="174"/>
      <c r="H22" s="318" t="str">
        <f t="shared" si="1"/>
        <v>Monday</v>
      </c>
      <c r="I22" s="319">
        <v>46097.0</v>
      </c>
      <c r="J22" s="170">
        <f t="array" ref="J22">sum(IF(($P$3:$P$100=I22), $T$3:$T$100, 0))</f>
        <v>500</v>
      </c>
      <c r="L22" s="127"/>
      <c r="M22" s="133"/>
      <c r="N22" s="68"/>
      <c r="P22" s="404">
        <v>46090.0</v>
      </c>
      <c r="Q22" s="132" t="s">
        <v>131</v>
      </c>
      <c r="R22" s="132" t="s">
        <v>23</v>
      </c>
      <c r="S22" s="132" t="s">
        <v>51</v>
      </c>
      <c r="T22" s="132">
        <v>90.0</v>
      </c>
      <c r="U22" s="109" t="s">
        <v>319</v>
      </c>
      <c r="V22" s="136"/>
      <c r="W22" s="515"/>
      <c r="X22" s="43"/>
      <c r="Y22" s="439"/>
    </row>
    <row r="23">
      <c r="B23" s="317"/>
      <c r="C23" s="108"/>
      <c r="D23" s="108"/>
      <c r="E23" s="108"/>
      <c r="F23" s="174"/>
      <c r="H23" s="318" t="str">
        <f t="shared" si="1"/>
        <v>Tuesday</v>
      </c>
      <c r="I23" s="319">
        <v>46098.0</v>
      </c>
      <c r="J23" s="170">
        <f t="array" ref="J23">sum(IF(($P$3:$P$100=I23), $T$3:$T$100, 0))</f>
        <v>600</v>
      </c>
      <c r="P23" s="404">
        <v>46090.0</v>
      </c>
      <c r="Q23" s="132" t="s">
        <v>131</v>
      </c>
      <c r="R23" s="132" t="s">
        <v>148</v>
      </c>
      <c r="S23" s="132" t="s">
        <v>51</v>
      </c>
      <c r="T23" s="132">
        <v>80.0</v>
      </c>
      <c r="U23" s="109" t="s">
        <v>320</v>
      </c>
      <c r="V23" s="136"/>
      <c r="W23" s="522"/>
      <c r="X23" s="523"/>
      <c r="Y23" s="444"/>
    </row>
    <row r="24">
      <c r="B24" s="317"/>
      <c r="C24" s="108"/>
      <c r="D24" s="108"/>
      <c r="E24" s="108"/>
      <c r="F24" s="174"/>
      <c r="H24" s="318" t="str">
        <f t="shared" si="1"/>
        <v>Wednesday</v>
      </c>
      <c r="I24" s="319">
        <v>46099.0</v>
      </c>
      <c r="J24" s="170">
        <f t="array" ref="J24">sum(IF(($P$3:$P$100=I24), $T$3:$T$100, 0))</f>
        <v>4775</v>
      </c>
      <c r="L24" s="137" t="s">
        <v>84</v>
      </c>
      <c r="M24" s="86"/>
      <c r="N24" s="524">
        <f>sum(N26:N31)</f>
        <v>10000</v>
      </c>
      <c r="P24" s="404">
        <v>46090.0</v>
      </c>
      <c r="Q24" s="132" t="s">
        <v>26</v>
      </c>
      <c r="R24" s="132" t="s">
        <v>151</v>
      </c>
      <c r="S24" s="132" t="s">
        <v>51</v>
      </c>
      <c r="T24" s="132">
        <v>40.0</v>
      </c>
      <c r="U24" s="109"/>
      <c r="V24" s="136"/>
    </row>
    <row r="25">
      <c r="B25" s="317"/>
      <c r="C25" s="112"/>
      <c r="D25" s="112"/>
      <c r="E25" s="108"/>
      <c r="F25" s="174"/>
      <c r="H25" s="318" t="str">
        <f t="shared" si="1"/>
        <v>Thursday</v>
      </c>
      <c r="I25" s="319">
        <v>46100.0</v>
      </c>
      <c r="J25" s="170">
        <f t="array" ref="J25">sum(IF(($P$3:$P$100=I25), $T$3:$T$100, 0))</f>
        <v>6019</v>
      </c>
      <c r="L25" s="139" t="s">
        <v>6</v>
      </c>
      <c r="M25" s="140" t="s">
        <v>85</v>
      </c>
      <c r="N25" s="141" t="s">
        <v>35</v>
      </c>
      <c r="P25" s="404">
        <v>46090.0</v>
      </c>
      <c r="Q25" s="132" t="s">
        <v>131</v>
      </c>
      <c r="R25" s="132" t="s">
        <v>23</v>
      </c>
      <c r="S25" s="132" t="s">
        <v>120</v>
      </c>
      <c r="T25" s="132">
        <v>4500.0</v>
      </c>
      <c r="U25" s="109" t="s">
        <v>321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Friday</v>
      </c>
      <c r="I26" s="319">
        <v>46101.0</v>
      </c>
      <c r="J26" s="170">
        <f t="array" ref="J26">sum(IF(($P$3:$P$100=I26), $T$3:$T$100, 0))</f>
        <v>4810</v>
      </c>
      <c r="L26" s="526">
        <v>46075.0</v>
      </c>
      <c r="M26" s="42" t="s">
        <v>163</v>
      </c>
      <c r="N26" s="185">
        <v>10000.0</v>
      </c>
      <c r="P26" s="404">
        <v>46089.0</v>
      </c>
      <c r="Q26" s="132" t="s">
        <v>127</v>
      </c>
      <c r="R26" s="132" t="s">
        <v>146</v>
      </c>
      <c r="S26" s="132" t="s">
        <v>12</v>
      </c>
      <c r="T26" s="132">
        <v>30.0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Saturday</v>
      </c>
      <c r="I27" s="319">
        <v>46102.0</v>
      </c>
      <c r="J27" s="170">
        <f t="array" ref="J27">sum(IF(($P$3:$P$100=I27), $T$3:$T$100, 0))</f>
        <v>417</v>
      </c>
      <c r="L27" s="152"/>
      <c r="M27" s="47"/>
      <c r="N27" s="48"/>
      <c r="P27" s="404">
        <v>46088.0</v>
      </c>
      <c r="Q27" s="132" t="s">
        <v>134</v>
      </c>
      <c r="R27" s="132" t="s">
        <v>116</v>
      </c>
      <c r="S27" s="132" t="s">
        <v>120</v>
      </c>
      <c r="T27" s="132">
        <v>2500.0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Sunday</v>
      </c>
      <c r="I28" s="319">
        <v>46103.0</v>
      </c>
      <c r="J28" s="170">
        <f t="array" ref="J28">sum(IF(($P$3:$P$100=I28), $T$3:$T$100, 0))</f>
        <v>0</v>
      </c>
      <c r="L28" s="152"/>
      <c r="M28" s="47"/>
      <c r="N28" s="48"/>
      <c r="P28" s="404">
        <v>46091.0</v>
      </c>
      <c r="Q28" s="132" t="s">
        <v>26</v>
      </c>
      <c r="R28" s="132" t="s">
        <v>26</v>
      </c>
      <c r="S28" s="132" t="s">
        <v>51</v>
      </c>
      <c r="T28" s="132">
        <v>500.0</v>
      </c>
      <c r="U28" s="109" t="s">
        <v>322</v>
      </c>
      <c r="V28" s="136"/>
    </row>
    <row r="29">
      <c r="B29" s="317"/>
      <c r="C29" s="108"/>
      <c r="D29" s="108"/>
      <c r="E29" s="108"/>
      <c r="F29" s="174"/>
      <c r="H29" s="318" t="str">
        <f t="shared" si="1"/>
        <v>Monday</v>
      </c>
      <c r="I29" s="319">
        <v>46104.0</v>
      </c>
      <c r="J29" s="170">
        <f t="array" ref="J29">sum(IF(($P$3:$P$100=I29), $T$3:$T$100, 0))</f>
        <v>225</v>
      </c>
      <c r="L29" s="152"/>
      <c r="M29" s="47"/>
      <c r="N29" s="48"/>
      <c r="P29" s="404">
        <v>46093.0</v>
      </c>
      <c r="Q29" s="132" t="s">
        <v>123</v>
      </c>
      <c r="R29" s="132" t="s">
        <v>145</v>
      </c>
      <c r="S29" s="132" t="s">
        <v>51</v>
      </c>
      <c r="T29" s="132">
        <v>70.0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Tuesday</v>
      </c>
      <c r="I30" s="319">
        <v>46105.0</v>
      </c>
      <c r="J30" s="170">
        <f t="array" ref="J30">sum(IF(($P$3:$P$100=I30), $T$3:$T$100, 0))</f>
        <v>0</v>
      </c>
      <c r="L30" s="152"/>
      <c r="M30" s="47"/>
      <c r="N30" s="48"/>
      <c r="P30" s="404">
        <v>46093.0</v>
      </c>
      <c r="Q30" s="132" t="s">
        <v>26</v>
      </c>
      <c r="R30" s="132" t="s">
        <v>26</v>
      </c>
      <c r="S30" s="132" t="s">
        <v>51</v>
      </c>
      <c r="T30" s="132">
        <f>15</f>
        <v>15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Wednesday</v>
      </c>
      <c r="I31" s="319">
        <v>46106.0</v>
      </c>
      <c r="J31" s="170">
        <f t="array" ref="J31">sum(IF(($P$3:$P$100=I31), $T$3:$T$100, 0))</f>
        <v>0</v>
      </c>
      <c r="L31" s="153"/>
      <c r="M31" s="154"/>
      <c r="N31" s="68"/>
      <c r="P31" s="404">
        <v>46094.0</v>
      </c>
      <c r="Q31" s="132" t="s">
        <v>26</v>
      </c>
      <c r="R31" s="132" t="s">
        <v>26</v>
      </c>
      <c r="S31" s="132" t="s">
        <v>51</v>
      </c>
      <c r="T31" s="132">
        <f>20+20</f>
        <v>40</v>
      </c>
      <c r="U31" s="109"/>
      <c r="V31" s="136"/>
    </row>
    <row r="32">
      <c r="B32" s="317"/>
      <c r="C32" s="108"/>
      <c r="D32" s="108"/>
      <c r="E32" s="108"/>
      <c r="F32" s="174"/>
      <c r="H32" s="318" t="str">
        <f t="shared" si="1"/>
        <v>Thursday</v>
      </c>
      <c r="I32" s="319">
        <v>46107.0</v>
      </c>
      <c r="J32" s="170">
        <f t="array" ref="J32">sum(IF(($P$3:$P$100=I32), $T$3:$T$100, 0))</f>
        <v>208</v>
      </c>
      <c r="P32" s="404">
        <v>46095.0</v>
      </c>
      <c r="Q32" s="132" t="s">
        <v>119</v>
      </c>
      <c r="R32" s="132" t="s">
        <v>138</v>
      </c>
      <c r="S32" s="132" t="s">
        <v>51</v>
      </c>
      <c r="T32" s="132">
        <f>530+140</f>
        <v>670</v>
      </c>
      <c r="U32" s="109" t="s">
        <v>323</v>
      </c>
      <c r="V32" s="136"/>
    </row>
    <row r="33">
      <c r="B33" s="317"/>
      <c r="C33" s="108"/>
      <c r="D33" s="108"/>
      <c r="E33" s="108"/>
      <c r="F33" s="174"/>
      <c r="H33" s="318" t="str">
        <f t="shared" si="1"/>
        <v>Friday</v>
      </c>
      <c r="I33" s="319">
        <v>46108.0</v>
      </c>
      <c r="J33" s="170">
        <f t="array" ref="J33">sum(IF(($P$3:$P$100=I33), $T$3:$T$100, 0))</f>
        <v>2645</v>
      </c>
      <c r="L33" s="137" t="s">
        <v>134</v>
      </c>
      <c r="M33" s="86"/>
      <c r="N33" s="138">
        <f>sum(M35:M39)</f>
        <v>37500</v>
      </c>
      <c r="P33" s="404">
        <v>46095.0</v>
      </c>
      <c r="Q33" s="132" t="s">
        <v>119</v>
      </c>
      <c r="R33" s="132" t="s">
        <v>142</v>
      </c>
      <c r="S33" s="132" t="s">
        <v>51</v>
      </c>
      <c r="T33" s="132">
        <f>200+50</f>
        <v>250</v>
      </c>
      <c r="U33" s="109" t="s">
        <v>324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Saturday</v>
      </c>
      <c r="I34" s="319">
        <v>46109.0</v>
      </c>
      <c r="J34" s="170">
        <f t="array" ref="J34">sum(IF(($P$3:$P$100=I34), $T$3:$T$100, 0))</f>
        <v>280</v>
      </c>
      <c r="L34" s="139" t="s">
        <v>39</v>
      </c>
      <c r="M34" s="140" t="s">
        <v>243</v>
      </c>
      <c r="N34" s="141" t="s">
        <v>244</v>
      </c>
      <c r="P34" s="404">
        <v>46097.0</v>
      </c>
      <c r="Q34" s="132" t="s">
        <v>26</v>
      </c>
      <c r="R34" s="132" t="s">
        <v>26</v>
      </c>
      <c r="S34" s="132" t="s">
        <v>51</v>
      </c>
      <c r="T34" s="132">
        <v>500.0</v>
      </c>
      <c r="U34" s="109" t="s">
        <v>325</v>
      </c>
      <c r="V34" s="136"/>
    </row>
    <row r="35">
      <c r="B35" s="317"/>
      <c r="C35" s="112"/>
      <c r="D35" s="112"/>
      <c r="E35" s="108"/>
      <c r="F35" s="174"/>
      <c r="H35" s="318" t="str">
        <f t="shared" si="1"/>
        <v>Sunday</v>
      </c>
      <c r="I35" s="319">
        <v>46110.0</v>
      </c>
      <c r="J35" s="170">
        <f t="array" ref="J35">sum(IF(($P$3:$P$100=I35), $T$3:$T$100, 0))</f>
        <v>0</v>
      </c>
      <c r="L35" s="293" t="str">
        <f t="array" ref="L35:L39">INDIRECT("SavingsAcc")</f>
        <v>EximBank_2.5</v>
      </c>
      <c r="M35" s="316">
        <f t="array" ref="M35">N35+sum(IF(($R$3:$R$100=L35), $T$3:$T$100, 0))</f>
        <v>37500</v>
      </c>
      <c r="N35" s="341">
        <f>14*2500</f>
        <v>35000</v>
      </c>
      <c r="P35" s="404">
        <v>46098.0</v>
      </c>
      <c r="Q35" s="132" t="s">
        <v>131</v>
      </c>
      <c r="R35" s="132" t="s">
        <v>131</v>
      </c>
      <c r="S35" s="132" t="s">
        <v>51</v>
      </c>
      <c r="T35" s="132">
        <v>600.0</v>
      </c>
      <c r="U35" s="109" t="s">
        <v>326</v>
      </c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 t="s">
        <v>121</v>
      </c>
      <c r="M36" s="316"/>
      <c r="N36" s="341"/>
      <c r="P36" s="404">
        <v>46099.0</v>
      </c>
      <c r="Q36" s="132" t="s">
        <v>123</v>
      </c>
      <c r="R36" s="132" t="s">
        <v>145</v>
      </c>
      <c r="S36" s="132" t="s">
        <v>51</v>
      </c>
      <c r="T36" s="132">
        <v>200.0</v>
      </c>
      <c r="U36" s="109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 t="s">
        <v>125</v>
      </c>
      <c r="M37" s="316"/>
      <c r="N37" s="341"/>
      <c r="P37" s="404">
        <v>46099.0</v>
      </c>
      <c r="Q37" s="132" t="s">
        <v>119</v>
      </c>
      <c r="R37" s="132" t="s">
        <v>142</v>
      </c>
      <c r="S37" s="132" t="s">
        <v>51</v>
      </c>
      <c r="T37" s="132">
        <v>175.0</v>
      </c>
      <c r="U37" s="109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 t="s">
        <v>129</v>
      </c>
      <c r="M38" s="316"/>
      <c r="N38" s="345"/>
      <c r="P38" s="404">
        <v>46099.0</v>
      </c>
      <c r="Q38" s="132" t="s">
        <v>131</v>
      </c>
      <c r="R38" s="132" t="s">
        <v>23</v>
      </c>
      <c r="S38" s="132" t="s">
        <v>12</v>
      </c>
      <c r="T38" s="132">
        <f>4500-100</f>
        <v>4400</v>
      </c>
      <c r="U38" s="481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 t="s">
        <v>132</v>
      </c>
      <c r="M39" s="289"/>
      <c r="N39" s="128"/>
      <c r="P39" s="404">
        <v>46100.0</v>
      </c>
      <c r="Q39" s="132" t="s">
        <v>26</v>
      </c>
      <c r="R39" s="132" t="s">
        <v>26</v>
      </c>
      <c r="S39" s="132" t="s">
        <v>51</v>
      </c>
      <c r="T39" s="132">
        <v>50.0</v>
      </c>
      <c r="U39" s="109"/>
      <c r="V39" s="136"/>
    </row>
    <row r="40">
      <c r="P40" s="404">
        <v>46100.0</v>
      </c>
      <c r="Q40" s="132" t="s">
        <v>131</v>
      </c>
      <c r="R40" s="132" t="s">
        <v>23</v>
      </c>
      <c r="S40" s="132" t="s">
        <v>51</v>
      </c>
      <c r="T40" s="132">
        <f>400+200</f>
        <v>600</v>
      </c>
      <c r="U40" s="481" t="s">
        <v>327</v>
      </c>
      <c r="V40" s="136"/>
    </row>
    <row r="41">
      <c r="P41" s="404">
        <v>46100.0</v>
      </c>
      <c r="Q41" s="132" t="s">
        <v>131</v>
      </c>
      <c r="R41" s="132" t="s">
        <v>148</v>
      </c>
      <c r="S41" s="132" t="s">
        <v>51</v>
      </c>
      <c r="T41" s="132">
        <f>50+50</f>
        <v>100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1"/>
      <c r="I42" s="527"/>
      <c r="J42" s="409"/>
      <c r="K42" s="411"/>
      <c r="L42" s="412"/>
      <c r="P42" s="404">
        <v>46100.0</v>
      </c>
      <c r="Q42" s="132" t="s">
        <v>123</v>
      </c>
      <c r="R42" s="132" t="s">
        <v>144</v>
      </c>
      <c r="S42" s="132" t="s">
        <v>51</v>
      </c>
      <c r="T42" s="132">
        <v>20.0</v>
      </c>
      <c r="U42" s="113"/>
      <c r="V42" s="136"/>
    </row>
    <row r="43">
      <c r="B43" s="413"/>
      <c r="C43" s="414"/>
      <c r="D43" s="414"/>
      <c r="E43" s="414"/>
      <c r="F43" s="414"/>
      <c r="G43" s="414"/>
      <c r="H43" s="415"/>
      <c r="I43" s="51"/>
      <c r="J43" s="413"/>
      <c r="K43" s="415"/>
      <c r="L43" s="51"/>
      <c r="P43" s="404">
        <v>46100.0</v>
      </c>
      <c r="Q43" s="132" t="s">
        <v>131</v>
      </c>
      <c r="R43" s="132" t="s">
        <v>150</v>
      </c>
      <c r="S43" s="132" t="s">
        <v>51</v>
      </c>
      <c r="T43" s="132">
        <v>5000.0</v>
      </c>
      <c r="U43" s="109" t="s">
        <v>258</v>
      </c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483" t="s">
        <v>43</v>
      </c>
      <c r="J44" s="485" t="s">
        <v>4</v>
      </c>
      <c r="K44" s="418"/>
      <c r="L44" s="486" t="s">
        <v>206</v>
      </c>
      <c r="P44" s="404">
        <v>46101.0</v>
      </c>
      <c r="Q44" s="132" t="s">
        <v>26</v>
      </c>
      <c r="R44" s="132" t="s">
        <v>26</v>
      </c>
      <c r="S44" s="132" t="s">
        <v>51</v>
      </c>
      <c r="T44" s="132">
        <f>200+50+200</f>
        <v>450</v>
      </c>
      <c r="U44" s="109" t="s">
        <v>328</v>
      </c>
      <c r="V44" s="136"/>
    </row>
    <row r="45">
      <c r="B45" s="423" t="s">
        <v>114</v>
      </c>
      <c r="C45" s="424"/>
      <c r="D45" s="425"/>
      <c r="E45" s="426">
        <f>Sum(I45:I50)</f>
        <v>16070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15945</v>
      </c>
      <c r="M45" s="298">
        <f>I45+I48+I50</f>
        <v>14880</v>
      </c>
      <c r="P45" s="404">
        <v>46101.0</v>
      </c>
      <c r="Q45" s="132" t="s">
        <v>131</v>
      </c>
      <c r="R45" s="132" t="s">
        <v>131</v>
      </c>
      <c r="S45" s="132" t="s">
        <v>51</v>
      </c>
      <c r="T45" s="132">
        <v>250.0</v>
      </c>
      <c r="U45" s="109" t="s">
        <v>329</v>
      </c>
      <c r="V45" s="136"/>
    </row>
    <row r="46">
      <c r="B46" s="432"/>
      <c r="D46" s="433"/>
      <c r="E46" s="434"/>
      <c r="F46" s="435" t="s">
        <v>118</v>
      </c>
      <c r="H46" s="433"/>
      <c r="I46" s="436">
        <v>0.0</v>
      </c>
      <c r="J46" s="437">
        <f t="array" ref="J46">sum(IF(($R$3:$R$100=F46), $T$3:$T$100, 0))</f>
        <v>0</v>
      </c>
      <c r="K46" s="418"/>
      <c r="L46" s="434"/>
      <c r="P46" s="404">
        <v>46101.0</v>
      </c>
      <c r="Q46" s="132" t="s">
        <v>131</v>
      </c>
      <c r="R46" s="132" t="s">
        <v>23</v>
      </c>
      <c r="S46" s="132" t="s">
        <v>51</v>
      </c>
      <c r="T46" s="132">
        <v>70.0</v>
      </c>
      <c r="U46" s="113"/>
      <c r="V46" s="136"/>
    </row>
    <row r="47">
      <c r="B47" s="438"/>
      <c r="D47" s="439"/>
      <c r="E47" s="37"/>
      <c r="F47" s="440" t="s">
        <v>122</v>
      </c>
      <c r="H47" s="439"/>
      <c r="I47" s="441">
        <v>350.0</v>
      </c>
      <c r="J47" s="429">
        <f t="array" ref="J47">sum(IF(($R$3:$R$100=F47), $T$3:$T$100, 0))</f>
        <v>225</v>
      </c>
      <c r="K47" s="430"/>
      <c r="L47" s="37"/>
      <c r="P47" s="404">
        <v>46101.0</v>
      </c>
      <c r="Q47" s="132" t="s">
        <v>131</v>
      </c>
      <c r="R47" s="132" t="s">
        <v>150</v>
      </c>
      <c r="S47" s="132" t="s">
        <v>51</v>
      </c>
      <c r="T47" s="132">
        <v>80.0</v>
      </c>
      <c r="U47" s="109" t="s">
        <v>330</v>
      </c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P48" s="404">
        <v>46101.0</v>
      </c>
      <c r="Q48" s="132" t="s">
        <v>26</v>
      </c>
      <c r="R48" s="132" t="s">
        <v>26</v>
      </c>
      <c r="S48" s="132" t="s">
        <v>51</v>
      </c>
      <c r="T48" s="132">
        <v>500.0</v>
      </c>
      <c r="U48" s="109" t="s">
        <v>331</v>
      </c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P49" s="404">
        <v>46101.0</v>
      </c>
      <c r="Q49" s="132" t="s">
        <v>131</v>
      </c>
      <c r="R49" s="132" t="s">
        <v>150</v>
      </c>
      <c r="S49" s="132" t="s">
        <v>51</v>
      </c>
      <c r="T49" s="132">
        <f>(1160+500+500)+(500+100+200)+500</f>
        <v>3460</v>
      </c>
      <c r="U49" s="109" t="s">
        <v>332</v>
      </c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P50" s="404">
        <v>46100.0</v>
      </c>
      <c r="Q50" s="132" t="s">
        <v>127</v>
      </c>
      <c r="R50" s="132" t="s">
        <v>146</v>
      </c>
      <c r="S50" s="132" t="s">
        <v>12</v>
      </c>
      <c r="T50" s="132">
        <f>219+30</f>
        <v>249</v>
      </c>
      <c r="U50" s="109" t="s">
        <v>333</v>
      </c>
      <c r="V50" s="136"/>
    </row>
    <row r="51">
      <c r="B51" s="447" t="s">
        <v>119</v>
      </c>
      <c r="C51" s="424"/>
      <c r="D51" s="425"/>
      <c r="E51" s="431">
        <f>Sum(I51:I54)</f>
        <v>10000</v>
      </c>
      <c r="F51" s="448" t="s">
        <v>135</v>
      </c>
      <c r="G51" s="424"/>
      <c r="H51" s="425"/>
      <c r="I51" s="449">
        <v>0.0</v>
      </c>
      <c r="J51" s="450">
        <f t="array" ref="J51">sum(IF(($R$3:$R$100=F51), $T$3:$T$100, 0))</f>
        <v>0</v>
      </c>
      <c r="K51" s="430"/>
      <c r="L51" s="431">
        <f>sum(J51:J54)</f>
        <v>10030</v>
      </c>
      <c r="P51" s="404">
        <v>46102.0</v>
      </c>
      <c r="Q51" s="132" t="s">
        <v>127</v>
      </c>
      <c r="R51" s="132" t="s">
        <v>147</v>
      </c>
      <c r="S51" s="132" t="s">
        <v>12</v>
      </c>
      <c r="T51" s="132">
        <v>417.0</v>
      </c>
      <c r="U51" s="109" t="s">
        <v>178</v>
      </c>
      <c r="V51" s="136"/>
    </row>
    <row r="52">
      <c r="B52" s="432"/>
      <c r="D52" s="433"/>
      <c r="E52" s="434"/>
      <c r="F52" s="451" t="s">
        <v>138</v>
      </c>
      <c r="H52" s="433"/>
      <c r="I52" s="452">
        <v>1500.0</v>
      </c>
      <c r="J52" s="453">
        <f t="array" ref="J52">sum(IF(($R$3:$R$100=F52), $T$3:$T$100, 0))</f>
        <v>1460</v>
      </c>
      <c r="K52" s="418"/>
      <c r="L52" s="434"/>
      <c r="P52" s="404">
        <v>46104.0</v>
      </c>
      <c r="Q52" s="132" t="s">
        <v>114</v>
      </c>
      <c r="R52" s="132" t="s">
        <v>122</v>
      </c>
      <c r="S52" s="132" t="s">
        <v>12</v>
      </c>
      <c r="T52" s="132">
        <v>225.0</v>
      </c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8000.0</v>
      </c>
      <c r="J53" s="450">
        <f t="array" ref="J53">sum(IF(($R$3:$R$100=F53), $T$3:$T$100, 0))</f>
        <v>8120</v>
      </c>
      <c r="K53" s="430"/>
      <c r="L53" s="37"/>
      <c r="P53" s="404">
        <v>46108.0</v>
      </c>
      <c r="Q53" s="132" t="s">
        <v>131</v>
      </c>
      <c r="R53" s="132" t="s">
        <v>150</v>
      </c>
      <c r="S53" s="132" t="s">
        <v>51</v>
      </c>
      <c r="T53" s="132">
        <v>1000.0</v>
      </c>
      <c r="U53" s="109" t="s">
        <v>334</v>
      </c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500.0</v>
      </c>
      <c r="J54" s="453">
        <f t="array" ref="J54">sum(IF(($R$3:$R$100=F54), $T$3:$T$100, 0))</f>
        <v>450</v>
      </c>
      <c r="K54" s="418"/>
      <c r="L54" s="445"/>
      <c r="P54" s="404">
        <v>46108.0</v>
      </c>
      <c r="Q54" s="132" t="s">
        <v>131</v>
      </c>
      <c r="R54" s="132" t="s">
        <v>23</v>
      </c>
      <c r="S54" s="132" t="s">
        <v>51</v>
      </c>
      <c r="T54" s="132">
        <f>350+100</f>
        <v>450</v>
      </c>
      <c r="U54" s="109" t="s">
        <v>335</v>
      </c>
      <c r="V54" s="136"/>
    </row>
    <row r="55">
      <c r="B55" s="447" t="s">
        <v>123</v>
      </c>
      <c r="C55" s="424"/>
      <c r="D55" s="425"/>
      <c r="E55" s="431">
        <f>sum(I55:I57)</f>
        <v>1100</v>
      </c>
      <c r="F55" s="448" t="s">
        <v>123</v>
      </c>
      <c r="G55" s="424"/>
      <c r="H55" s="425"/>
      <c r="I55" s="456"/>
      <c r="J55" s="450">
        <f t="array" ref="J55">sum(IF(($R$3:$R$100=F55), $T$3:$T$100, 0))</f>
        <v>0</v>
      </c>
      <c r="K55" s="430"/>
      <c r="L55" s="431">
        <f>sum(J55:J58)</f>
        <v>1724</v>
      </c>
      <c r="P55" s="404">
        <v>46108.0</v>
      </c>
      <c r="Q55" s="132" t="s">
        <v>131</v>
      </c>
      <c r="R55" s="132" t="s">
        <v>148</v>
      </c>
      <c r="S55" s="132" t="s">
        <v>51</v>
      </c>
      <c r="T55" s="132">
        <f>170+20+20+10+15</f>
        <v>235</v>
      </c>
      <c r="U55" s="109" t="s">
        <v>336</v>
      </c>
      <c r="V55" s="136"/>
    </row>
    <row r="56">
      <c r="B56" s="432"/>
      <c r="D56" s="433"/>
      <c r="E56" s="434"/>
      <c r="F56" s="451" t="s">
        <v>144</v>
      </c>
      <c r="H56" s="433"/>
      <c r="I56" s="452">
        <v>300.0</v>
      </c>
      <c r="J56" s="453">
        <f t="array" ref="J56">sum(IF(($R$3:$R$100=F56), $T$3:$T$100, 0))</f>
        <v>280</v>
      </c>
      <c r="K56" s="418"/>
      <c r="L56" s="434"/>
      <c r="P56" s="404">
        <v>46108.0</v>
      </c>
      <c r="Q56" s="132" t="s">
        <v>123</v>
      </c>
      <c r="R56" s="132" t="s">
        <v>145</v>
      </c>
      <c r="S56" s="132" t="s">
        <v>51</v>
      </c>
      <c r="T56" s="132">
        <v>70.0</v>
      </c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800.0</v>
      </c>
      <c r="J57" s="450">
        <f t="array" ref="J57">sum(IF(($R$3:$R$100=F57), $T$3:$T$100, 0))</f>
        <v>885</v>
      </c>
      <c r="K57" s="430"/>
      <c r="L57" s="51"/>
      <c r="N57" s="298">
        <f>500+200+1000+1000+6000+2000</f>
        <v>10700</v>
      </c>
      <c r="P57" s="404">
        <v>46108.0</v>
      </c>
      <c r="Q57" s="132" t="s">
        <v>26</v>
      </c>
      <c r="R57" s="132" t="s">
        <v>26</v>
      </c>
      <c r="S57" s="132" t="s">
        <v>51</v>
      </c>
      <c r="T57" s="132">
        <v>50.0</v>
      </c>
      <c r="U57" s="113"/>
      <c r="V57" s="136"/>
    </row>
    <row r="58">
      <c r="B58" s="458" t="s">
        <v>127</v>
      </c>
      <c r="C58" s="459"/>
      <c r="D58" s="460"/>
      <c r="E58" s="461">
        <f>I58+I59</f>
        <v>700</v>
      </c>
      <c r="F58" s="462" t="s">
        <v>146</v>
      </c>
      <c r="G58" s="459"/>
      <c r="H58" s="460"/>
      <c r="I58" s="436">
        <v>300.0</v>
      </c>
      <c r="J58" s="453">
        <f t="array" ref="J58">sum(IF(($R$3:$R$100=F58), $T$3:$T$100, 0))</f>
        <v>559</v>
      </c>
      <c r="K58" s="418"/>
      <c r="L58" s="464">
        <f>J58+J59</f>
        <v>1184</v>
      </c>
      <c r="P58" s="404">
        <v>46109.0</v>
      </c>
      <c r="Q58" s="132" t="s">
        <v>127</v>
      </c>
      <c r="R58" s="132" t="s">
        <v>146</v>
      </c>
      <c r="S58" s="132" t="s">
        <v>12</v>
      </c>
      <c r="T58" s="132">
        <v>280.0</v>
      </c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441">
        <v>400.0</v>
      </c>
      <c r="J59" s="450">
        <f t="array" ref="J59">sum(IF(($R$3:$R$100=F59), $T$3:$T$100, 0))</f>
        <v>625</v>
      </c>
      <c r="K59" s="430"/>
      <c r="L59" s="51"/>
      <c r="P59" s="404">
        <v>46108.0</v>
      </c>
      <c r="Q59" s="132" t="s">
        <v>114</v>
      </c>
      <c r="R59" s="132" t="s">
        <v>130</v>
      </c>
      <c r="S59" s="132" t="s">
        <v>12</v>
      </c>
      <c r="T59" s="132">
        <v>840.0</v>
      </c>
      <c r="U59" s="113"/>
      <c r="V59" s="136"/>
    </row>
    <row r="60">
      <c r="B60" s="458" t="s">
        <v>131</v>
      </c>
      <c r="C60" s="459"/>
      <c r="D60" s="460"/>
      <c r="E60" s="467">
        <f>I60+I61+I62+I63+I64</f>
        <v>27500</v>
      </c>
      <c r="F60" s="462" t="s">
        <v>148</v>
      </c>
      <c r="G60" s="459"/>
      <c r="H60" s="460"/>
      <c r="I60" s="487">
        <v>500.0</v>
      </c>
      <c r="J60" s="453">
        <f t="array" ref="J60">sum(IF(($R$3:$R$100=F60), $T$3:$T$100, 0))</f>
        <v>560</v>
      </c>
      <c r="K60" s="418"/>
      <c r="L60" s="464">
        <f>J60+J61+J62+J63+J64</f>
        <v>28425</v>
      </c>
      <c r="P60" s="404">
        <v>46107.0</v>
      </c>
      <c r="Q60" s="132" t="s">
        <v>127</v>
      </c>
      <c r="R60" s="132" t="s">
        <v>147</v>
      </c>
      <c r="S60" s="132" t="s">
        <v>12</v>
      </c>
      <c r="T60" s="132">
        <v>208.0</v>
      </c>
      <c r="U60" s="113"/>
      <c r="V60" s="136"/>
    </row>
    <row r="61">
      <c r="B61" s="438"/>
      <c r="D61" s="439"/>
      <c r="E61" s="438"/>
      <c r="F61" s="454" t="s">
        <v>23</v>
      </c>
      <c r="H61" s="439"/>
      <c r="I61" s="488">
        <v>10000.0</v>
      </c>
      <c r="J61" s="450">
        <f t="array" ref="J61">sum(IF(($R$3:$R$100=F61), $T$3:$T$100, 0))</f>
        <v>10110</v>
      </c>
      <c r="K61" s="430"/>
      <c r="L61" s="37"/>
      <c r="P61" s="404"/>
      <c r="Q61" s="132"/>
      <c r="R61" s="132"/>
      <c r="S61" s="132"/>
      <c r="T61" s="132"/>
      <c r="U61" s="113"/>
      <c r="V61" s="136"/>
    </row>
    <row r="62">
      <c r="B62" s="432"/>
      <c r="D62" s="433"/>
      <c r="E62" s="432"/>
      <c r="F62" s="451" t="s">
        <v>149</v>
      </c>
      <c r="H62" s="433"/>
      <c r="I62" s="489">
        <v>2500.0</v>
      </c>
      <c r="J62" s="453">
        <f t="array" ref="J62">sum(IF(($R$3:$R$100=F62), $T$3:$T$100, 0))</f>
        <v>2475</v>
      </c>
      <c r="K62" s="418"/>
      <c r="L62" s="434"/>
      <c r="P62" s="404"/>
      <c r="Q62" s="132"/>
      <c r="R62" s="132"/>
      <c r="S62" s="132"/>
      <c r="T62" s="132"/>
      <c r="U62" s="113"/>
      <c r="V62" s="136"/>
    </row>
    <row r="63">
      <c r="B63" s="438"/>
      <c r="D63" s="439"/>
      <c r="E63" s="438"/>
      <c r="F63" s="454" t="s">
        <v>150</v>
      </c>
      <c r="H63" s="439"/>
      <c r="I63" s="490">
        <v>8500.0</v>
      </c>
      <c r="J63" s="450">
        <f t="array" ref="J63">sum(IF(($R$3:$R$100=F63), $T$3:$T$100, 0))</f>
        <v>9540</v>
      </c>
      <c r="K63" s="430"/>
      <c r="L63" s="37"/>
      <c r="M63" s="10" t="s">
        <v>337</v>
      </c>
      <c r="P63" s="404"/>
      <c r="Q63" s="132"/>
      <c r="R63" s="132"/>
      <c r="S63" s="132"/>
      <c r="T63" s="132"/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491">
        <v>6000.0</v>
      </c>
      <c r="J64" s="467">
        <f t="array" ref="J64">sum(IF(($R$3:$R$100=F64), $T$3:$T$100, 0))</f>
        <v>5740</v>
      </c>
      <c r="K64" s="460"/>
      <c r="L64" s="445"/>
      <c r="P64" s="404"/>
      <c r="Q64" s="132"/>
      <c r="R64" s="132"/>
      <c r="S64" s="132"/>
      <c r="T64" s="132"/>
      <c r="U64" s="113"/>
      <c r="V64" s="136"/>
    </row>
    <row r="65">
      <c r="B65" s="38" t="s">
        <v>134</v>
      </c>
      <c r="D65" s="439"/>
      <c r="E65" s="492">
        <f>sum(I65:I68)</f>
        <v>2500</v>
      </c>
      <c r="F65" s="448" t="s">
        <v>116</v>
      </c>
      <c r="G65" s="424"/>
      <c r="H65" s="425"/>
      <c r="I65" s="490">
        <v>2500.0</v>
      </c>
      <c r="J65" s="468">
        <f t="array" ref="J65">sum(IF(($R$3:$R$100=F65), $T$3:$T$100, 0))</f>
        <v>2500</v>
      </c>
      <c r="K65" s="425"/>
      <c r="L65" s="431">
        <f>sum(J65:J68)</f>
        <v>2500</v>
      </c>
      <c r="P65" s="404"/>
      <c r="Q65" s="132"/>
      <c r="R65" s="132"/>
      <c r="S65" s="132"/>
      <c r="T65" s="132"/>
      <c r="U65" s="113"/>
      <c r="V65" s="136"/>
    </row>
    <row r="66">
      <c r="B66" s="432"/>
      <c r="D66" s="433"/>
      <c r="E66" s="432"/>
      <c r="F66" s="493" t="s">
        <v>121</v>
      </c>
      <c r="H66" s="433"/>
      <c r="I66" s="494">
        <v>0.0</v>
      </c>
      <c r="J66" s="470">
        <f t="array" ref="J66">sum(IF(($R$3:$R$100=F66), $T$3:$T$100, 0))</f>
        <v>0</v>
      </c>
      <c r="K66" s="460"/>
      <c r="L66" s="434"/>
      <c r="P66" s="404"/>
      <c r="Q66" s="132"/>
      <c r="R66" s="132"/>
      <c r="S66" s="132"/>
      <c r="T66" s="132"/>
      <c r="U66" s="113"/>
      <c r="V66" s="136"/>
    </row>
    <row r="67">
      <c r="B67" s="438"/>
      <c r="D67" s="439"/>
      <c r="E67" s="438"/>
      <c r="F67" s="454" t="s">
        <v>125</v>
      </c>
      <c r="H67" s="439"/>
      <c r="I67" s="490">
        <v>0.0</v>
      </c>
      <c r="J67" s="468">
        <f t="array" ref="J67">sum(IF(($R$3:$R$100=F67), $T$3:$T$100, 0))</f>
        <v>0</v>
      </c>
      <c r="K67" s="425"/>
      <c r="L67" s="37"/>
      <c r="P67" s="404"/>
      <c r="Q67" s="132"/>
      <c r="R67" s="132"/>
      <c r="S67" s="132"/>
      <c r="T67" s="132"/>
      <c r="U67" s="113"/>
      <c r="V67" s="136"/>
    </row>
    <row r="68">
      <c r="B68" s="432"/>
      <c r="D68" s="433"/>
      <c r="E68" s="442"/>
      <c r="F68" s="493" t="s">
        <v>129</v>
      </c>
      <c r="H68" s="433"/>
      <c r="I68" s="494">
        <v>0.0</v>
      </c>
      <c r="J68" s="472">
        <f t="array" ref="J68">sum(IF(($R$3:$R$100=F68), $T$3:$T$100, 0))</f>
        <v>0</v>
      </c>
      <c r="K68" s="418"/>
      <c r="L68" s="445"/>
      <c r="P68" s="404"/>
      <c r="Q68" s="132"/>
      <c r="R68" s="132"/>
      <c r="S68" s="132"/>
      <c r="T68" s="102"/>
      <c r="U68" s="113"/>
      <c r="V68" s="136"/>
    </row>
    <row r="69">
      <c r="B69" s="447" t="s">
        <v>26</v>
      </c>
      <c r="C69" s="424"/>
      <c r="D69" s="425"/>
      <c r="E69" s="495"/>
      <c r="F69" s="495" t="s">
        <v>132</v>
      </c>
      <c r="G69" s="424"/>
      <c r="H69" s="425"/>
      <c r="I69" s="496">
        <v>2000.0</v>
      </c>
      <c r="J69" s="497">
        <f t="array" ref="J69">sum(IF(($R$3:$R$100=F69), $T$3:$T$100, 0))</f>
        <v>0</v>
      </c>
      <c r="K69" s="430"/>
      <c r="L69" s="466"/>
      <c r="P69" s="404"/>
      <c r="Q69" s="132"/>
      <c r="R69" s="132"/>
      <c r="S69" s="132"/>
      <c r="T69" s="132"/>
      <c r="U69" s="113"/>
      <c r="V69" s="136"/>
    </row>
    <row r="70">
      <c r="B70" s="442"/>
      <c r="C70" s="443"/>
      <c r="D70" s="444"/>
      <c r="E70" s="442"/>
      <c r="F70" s="493" t="s">
        <v>26</v>
      </c>
      <c r="H70" s="433"/>
      <c r="I70" s="551">
        <v>100.0</v>
      </c>
      <c r="J70" s="472">
        <f t="array" ref="J70">sum(IF(($R$3:$R$100=F70), $T$3:$T$100, 0))</f>
        <v>2200</v>
      </c>
      <c r="K70" s="418"/>
      <c r="L70" s="445"/>
      <c r="M70" s="10" t="s">
        <v>310</v>
      </c>
      <c r="P70" s="404"/>
      <c r="Q70" s="132"/>
      <c r="R70" s="132"/>
      <c r="S70" s="132"/>
      <c r="T70" s="132"/>
      <c r="U70" s="113"/>
      <c r="V70" s="136"/>
    </row>
    <row r="71">
      <c r="B71" s="447" t="s">
        <v>139</v>
      </c>
      <c r="C71" s="424"/>
      <c r="D71" s="425"/>
      <c r="E71" s="495"/>
      <c r="F71" s="495" t="s">
        <v>151</v>
      </c>
      <c r="G71" s="424"/>
      <c r="H71" s="425"/>
      <c r="I71" s="499"/>
      <c r="J71" s="497">
        <f t="array" ref="J71">sum(IF(($R$3:$R$100=F71), $T$3:$T$100, 0))</f>
        <v>40</v>
      </c>
      <c r="K71" s="430"/>
      <c r="L71" s="466"/>
      <c r="P71" s="404"/>
      <c r="Q71" s="132"/>
      <c r="R71" s="132"/>
      <c r="S71" s="132"/>
      <c r="T71" s="132"/>
      <c r="U71" s="113"/>
      <c r="V71" s="136"/>
    </row>
    <row r="72">
      <c r="B72" s="442"/>
      <c r="C72" s="443"/>
      <c r="D72" s="444"/>
      <c r="E72" s="442"/>
      <c r="F72" s="469" t="s">
        <v>152</v>
      </c>
      <c r="G72" s="443"/>
      <c r="H72" s="444"/>
      <c r="I72" s="498"/>
      <c r="J72" s="472">
        <f t="array" ref="J72">sum(IF(($R$3:$R$100=F72), $T$3:$T$100, 0))</f>
        <v>0</v>
      </c>
      <c r="K72" s="418"/>
      <c r="L72" s="445"/>
      <c r="P72" s="404"/>
      <c r="Q72" s="132"/>
      <c r="R72" s="132"/>
      <c r="S72" s="132"/>
      <c r="T72" s="132"/>
      <c r="U72" s="113"/>
      <c r="V72" s="136"/>
    </row>
    <row r="73">
      <c r="F73" s="298" t="s">
        <v>153</v>
      </c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H75" s="500" t="s">
        <v>96</v>
      </c>
      <c r="I75" s="501">
        <f t="shared" ref="I75:J75" si="2">SUM(I45:I72)</f>
        <v>59970</v>
      </c>
      <c r="J75" s="501">
        <f t="shared" si="2"/>
        <v>61489</v>
      </c>
      <c r="L75" s="502">
        <f t="shared" ref="L75:L77" si="4">I75-J75</f>
        <v>-1519</v>
      </c>
      <c r="P75" s="404"/>
      <c r="Q75" s="132"/>
      <c r="R75" s="132"/>
      <c r="S75" s="132"/>
      <c r="T75" s="132"/>
      <c r="U75" s="113"/>
      <c r="V75" s="136"/>
    </row>
    <row r="76">
      <c r="H76" s="503" t="s">
        <v>190</v>
      </c>
      <c r="I76" s="504">
        <f t="shared" ref="I76:J76" si="3">I46+I47+I49+I58+I59+I63+I67+I68+I62+I64+I65+I66</f>
        <v>21390</v>
      </c>
      <c r="J76" s="504">
        <f t="shared" si="3"/>
        <v>22504</v>
      </c>
      <c r="L76" s="505">
        <f t="shared" si="4"/>
        <v>-1114</v>
      </c>
      <c r="P76" s="404"/>
      <c r="Q76" s="132"/>
      <c r="R76" s="132"/>
      <c r="S76" s="132"/>
      <c r="T76" s="132"/>
      <c r="U76" s="113"/>
      <c r="V76" s="136"/>
    </row>
    <row r="77">
      <c r="H77" s="506" t="s">
        <v>51</v>
      </c>
      <c r="I77" s="507">
        <f t="shared" ref="I77:J77" si="5">I75-I76</f>
        <v>38580</v>
      </c>
      <c r="J77" s="507">
        <f t="shared" si="5"/>
        <v>38985</v>
      </c>
      <c r="L77" s="508">
        <f t="shared" si="4"/>
        <v>-405</v>
      </c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E81" s="111"/>
      <c r="F81" s="111"/>
      <c r="P81" s="404"/>
      <c r="Q81" s="102"/>
      <c r="R81" s="102"/>
      <c r="S81" s="102"/>
      <c r="T81" s="102"/>
      <c r="U81" s="113"/>
      <c r="V81" s="136"/>
    </row>
    <row r="82">
      <c r="B82" s="528" t="s">
        <v>291</v>
      </c>
      <c r="C82" s="410"/>
      <c r="D82" s="410"/>
      <c r="E82" s="410"/>
      <c r="F82" s="410"/>
      <c r="G82" s="410"/>
      <c r="H82" s="411"/>
      <c r="I82" s="529">
        <f t="shared" ref="I82:J82" si="6">sum(I85:I116)</f>
        <v>29500</v>
      </c>
      <c r="J82" s="530">
        <f t="shared" si="6"/>
        <v>10600</v>
      </c>
      <c r="K82" s="411"/>
      <c r="L82" s="531">
        <f>I82-J82</f>
        <v>18900</v>
      </c>
      <c r="P82" s="404"/>
      <c r="Q82" s="102"/>
      <c r="R82" s="102"/>
      <c r="S82" s="102"/>
      <c r="T82" s="102"/>
      <c r="U82" s="113"/>
      <c r="V82" s="136"/>
    </row>
    <row r="83">
      <c r="B83" s="413"/>
      <c r="C83" s="414"/>
      <c r="D83" s="414"/>
      <c r="E83" s="414"/>
      <c r="F83" s="414"/>
      <c r="G83" s="414"/>
      <c r="H83" s="415"/>
      <c r="I83" s="51"/>
      <c r="J83" s="413"/>
      <c r="K83" s="415"/>
      <c r="L83" s="51"/>
      <c r="P83" s="404"/>
      <c r="Q83" s="102"/>
      <c r="R83" s="102"/>
      <c r="S83" s="102"/>
      <c r="T83" s="102"/>
      <c r="U83" s="113"/>
      <c r="V83" s="136"/>
    </row>
    <row r="84">
      <c r="B84" s="482" t="s">
        <v>107</v>
      </c>
      <c r="C84" s="417"/>
      <c r="D84" s="418"/>
      <c r="E84" s="483" t="s">
        <v>43</v>
      </c>
      <c r="F84" s="484" t="s">
        <v>108</v>
      </c>
      <c r="G84" s="417"/>
      <c r="H84" s="418"/>
      <c r="I84" s="483" t="s">
        <v>43</v>
      </c>
      <c r="J84" s="485" t="s">
        <v>4</v>
      </c>
      <c r="K84" s="418"/>
      <c r="L84" s="486" t="s">
        <v>206</v>
      </c>
      <c r="P84" s="112"/>
      <c r="Q84" s="102"/>
      <c r="R84" s="102"/>
      <c r="S84" s="102"/>
      <c r="T84" s="102"/>
      <c r="U84" s="113"/>
      <c r="V84" s="136"/>
    </row>
    <row r="85">
      <c r="B85" s="447" t="s">
        <v>292</v>
      </c>
      <c r="C85" s="424"/>
      <c r="D85" s="425"/>
      <c r="E85" s="431">
        <f>SUM(I85:I88)</f>
        <v>4600</v>
      </c>
      <c r="F85" s="447" t="s">
        <v>293</v>
      </c>
      <c r="G85" s="424"/>
      <c r="H85" s="425"/>
      <c r="I85" s="449">
        <v>3200.0</v>
      </c>
      <c r="J85" s="20">
        <v>3200.0</v>
      </c>
      <c r="K85" s="430"/>
      <c r="L85" s="431">
        <f>sum(I85:I88) - sum(J85:J88)</f>
        <v>0</v>
      </c>
      <c r="P85" s="112"/>
      <c r="Q85" s="102"/>
      <c r="R85" s="102"/>
      <c r="S85" s="102"/>
      <c r="T85" s="102"/>
      <c r="U85" s="113"/>
      <c r="V85" s="136"/>
    </row>
    <row r="86">
      <c r="B86" s="432"/>
      <c r="D86" s="433"/>
      <c r="E86" s="434"/>
      <c r="F86" s="532" t="s">
        <v>294</v>
      </c>
      <c r="H86" s="433"/>
      <c r="I86" s="452">
        <v>1400.0</v>
      </c>
      <c r="J86" s="533">
        <v>1400.0</v>
      </c>
      <c r="K86" s="418"/>
      <c r="L86" s="434"/>
      <c r="P86" s="112"/>
      <c r="Q86" s="102"/>
      <c r="R86" s="102"/>
      <c r="S86" s="102"/>
      <c r="T86" s="102"/>
      <c r="U86" s="113"/>
      <c r="V86" s="136"/>
    </row>
    <row r="87">
      <c r="B87" s="438"/>
      <c r="D87" s="439"/>
      <c r="E87" s="37"/>
      <c r="F87" s="61"/>
      <c r="H87" s="439"/>
      <c r="I87" s="449"/>
      <c r="J87" s="20"/>
      <c r="K87" s="430"/>
      <c r="L87" s="37"/>
      <c r="P87" s="112"/>
      <c r="Q87" s="102"/>
      <c r="R87" s="102"/>
      <c r="S87" s="102"/>
      <c r="T87" s="102"/>
      <c r="U87" s="113"/>
      <c r="V87" s="136"/>
    </row>
    <row r="88">
      <c r="B88" s="442"/>
      <c r="C88" s="443"/>
      <c r="D88" s="444"/>
      <c r="E88" s="445"/>
      <c r="F88" s="534"/>
      <c r="G88" s="443"/>
      <c r="H88" s="444"/>
      <c r="I88" s="452"/>
      <c r="J88" s="533"/>
      <c r="K88" s="418"/>
      <c r="L88" s="445"/>
      <c r="P88" s="112"/>
      <c r="Q88" s="102"/>
      <c r="R88" s="102"/>
      <c r="S88" s="102"/>
      <c r="T88" s="102"/>
      <c r="U88" s="113"/>
      <c r="V88" s="136"/>
    </row>
    <row r="89">
      <c r="B89" s="447" t="s">
        <v>295</v>
      </c>
      <c r="C89" s="424"/>
      <c r="D89" s="425"/>
      <c r="E89" s="431">
        <f>SUM(I89:I92)</f>
        <v>0</v>
      </c>
      <c r="F89" s="447" t="s">
        <v>296</v>
      </c>
      <c r="G89" s="424"/>
      <c r="H89" s="425"/>
      <c r="I89" s="449"/>
      <c r="J89" s="20"/>
      <c r="K89" s="430"/>
      <c r="L89" s="431">
        <f>sum(I89:I92) - sum(J89:J92)</f>
        <v>0</v>
      </c>
      <c r="P89" s="112"/>
      <c r="Q89" s="102"/>
      <c r="R89" s="102"/>
      <c r="S89" s="102"/>
      <c r="T89" s="102"/>
      <c r="U89" s="113"/>
      <c r="V89" s="136"/>
    </row>
    <row r="90">
      <c r="B90" s="432"/>
      <c r="D90" s="433"/>
      <c r="E90" s="434"/>
      <c r="F90" s="535"/>
      <c r="H90" s="433"/>
      <c r="I90" s="452"/>
      <c r="J90" s="533"/>
      <c r="K90" s="418"/>
      <c r="L90" s="434"/>
      <c r="P90" s="112"/>
      <c r="Q90" s="102"/>
      <c r="R90" s="102"/>
      <c r="S90" s="102"/>
      <c r="T90" s="102"/>
      <c r="U90" s="113"/>
      <c r="V90" s="136"/>
    </row>
    <row r="91">
      <c r="B91" s="438"/>
      <c r="D91" s="439"/>
      <c r="E91" s="37"/>
      <c r="F91" s="61"/>
      <c r="H91" s="439"/>
      <c r="I91" s="449"/>
      <c r="J91" s="20"/>
      <c r="K91" s="430"/>
      <c r="L91" s="37"/>
      <c r="P91" s="112"/>
      <c r="Q91" s="102"/>
      <c r="R91" s="102"/>
      <c r="S91" s="102"/>
      <c r="T91" s="102"/>
      <c r="U91" s="113"/>
      <c r="V91" s="136"/>
    </row>
    <row r="92">
      <c r="B92" s="442"/>
      <c r="C92" s="443"/>
      <c r="D92" s="444"/>
      <c r="E92" s="445"/>
      <c r="F92" s="534"/>
      <c r="G92" s="443"/>
      <c r="H92" s="444"/>
      <c r="I92" s="452"/>
      <c r="J92" s="533"/>
      <c r="K92" s="418"/>
      <c r="L92" s="445"/>
      <c r="P92" s="112"/>
      <c r="Q92" s="102"/>
      <c r="R92" s="102"/>
      <c r="S92" s="102"/>
      <c r="T92" s="102"/>
      <c r="U92" s="113"/>
      <c r="V92" s="136"/>
    </row>
    <row r="93">
      <c r="B93" s="536" t="s">
        <v>297</v>
      </c>
      <c r="C93" s="424"/>
      <c r="D93" s="425"/>
      <c r="E93" s="431">
        <f>SUM(I93:I96)</f>
        <v>0</v>
      </c>
      <c r="F93" s="536" t="s">
        <v>296</v>
      </c>
      <c r="G93" s="424"/>
      <c r="H93" s="425"/>
      <c r="I93" s="537"/>
      <c r="J93" s="20"/>
      <c r="K93" s="430"/>
      <c r="L93" s="431">
        <f>sum(I93:I96) - sum(J93:J96)</f>
        <v>0</v>
      </c>
      <c r="P93" s="112"/>
      <c r="Q93" s="102"/>
      <c r="R93" s="102"/>
      <c r="S93" s="102"/>
      <c r="T93" s="102"/>
      <c r="U93" s="113"/>
      <c r="V93" s="136"/>
    </row>
    <row r="94">
      <c r="B94" s="432"/>
      <c r="D94" s="433"/>
      <c r="E94" s="434"/>
      <c r="F94" s="538"/>
      <c r="H94" s="433"/>
      <c r="I94" s="539"/>
      <c r="J94" s="533"/>
      <c r="K94" s="418"/>
      <c r="L94" s="434"/>
      <c r="P94" s="112"/>
      <c r="Q94" s="102"/>
      <c r="R94" s="102"/>
      <c r="S94" s="102"/>
      <c r="T94" s="102"/>
      <c r="U94" s="113"/>
      <c r="V94" s="136"/>
    </row>
    <row r="95">
      <c r="B95" s="438"/>
      <c r="D95" s="439"/>
      <c r="E95" s="37"/>
      <c r="F95" s="540"/>
      <c r="H95" s="439"/>
      <c r="I95" s="541"/>
      <c r="J95" s="20"/>
      <c r="K95" s="430"/>
      <c r="L95" s="37"/>
      <c r="P95" s="112"/>
      <c r="Q95" s="102"/>
      <c r="R95" s="102"/>
      <c r="S95" s="102"/>
      <c r="T95" s="102"/>
      <c r="U95" s="113"/>
      <c r="V95" s="136"/>
    </row>
    <row r="96">
      <c r="B96" s="442"/>
      <c r="C96" s="443"/>
      <c r="D96" s="444"/>
      <c r="E96" s="445"/>
      <c r="F96" s="542"/>
      <c r="G96" s="443"/>
      <c r="H96" s="444"/>
      <c r="I96" s="539"/>
      <c r="J96" s="533"/>
      <c r="K96" s="418"/>
      <c r="L96" s="445"/>
      <c r="P96" s="112"/>
      <c r="Q96" s="102"/>
      <c r="R96" s="102"/>
      <c r="S96" s="102"/>
      <c r="T96" s="102"/>
      <c r="U96" s="113"/>
      <c r="V96" s="136"/>
    </row>
    <row r="97">
      <c r="B97" s="536" t="s">
        <v>298</v>
      </c>
      <c r="C97" s="424"/>
      <c r="D97" s="425"/>
      <c r="E97" s="431">
        <f>SUM(I97:I100)</f>
        <v>3800</v>
      </c>
      <c r="F97" s="536" t="s">
        <v>299</v>
      </c>
      <c r="G97" s="424"/>
      <c r="H97" s="425"/>
      <c r="I97" s="537">
        <v>1400.0</v>
      </c>
      <c r="J97" s="20">
        <v>1400.0</v>
      </c>
      <c r="K97" s="430"/>
      <c r="L97" s="431">
        <f>sum(I97:I100) - sum(J97:J100)</f>
        <v>900</v>
      </c>
      <c r="P97" s="112"/>
      <c r="Q97" s="102"/>
      <c r="R97" s="102"/>
      <c r="S97" s="102"/>
      <c r="T97" s="102"/>
      <c r="U97" s="113"/>
      <c r="V97" s="136"/>
    </row>
    <row r="98">
      <c r="B98" s="432"/>
      <c r="D98" s="433"/>
      <c r="E98" s="434"/>
      <c r="F98" s="543" t="s">
        <v>300</v>
      </c>
      <c r="H98" s="433"/>
      <c r="I98" s="544">
        <v>1400.0</v>
      </c>
      <c r="J98" s="533">
        <v>1500.0</v>
      </c>
      <c r="K98" s="418"/>
      <c r="L98" s="434"/>
      <c r="P98" s="112"/>
      <c r="Q98" s="102"/>
      <c r="R98" s="102"/>
      <c r="S98" s="102"/>
      <c r="T98" s="102"/>
      <c r="U98" s="113"/>
      <c r="V98" s="136"/>
    </row>
    <row r="99">
      <c r="B99" s="438"/>
      <c r="D99" s="439"/>
      <c r="E99" s="37"/>
      <c r="F99" s="545" t="s">
        <v>301</v>
      </c>
      <c r="H99" s="439"/>
      <c r="I99" s="537">
        <v>1000.0</v>
      </c>
      <c r="J99" s="20"/>
      <c r="K99" s="430"/>
      <c r="L99" s="37"/>
      <c r="P99" s="112"/>
      <c r="Q99" s="102"/>
      <c r="R99" s="102"/>
      <c r="S99" s="102"/>
      <c r="T99" s="102"/>
      <c r="U99" s="113"/>
      <c r="V99" s="136"/>
    </row>
    <row r="100">
      <c r="B100" s="442"/>
      <c r="C100" s="443"/>
      <c r="D100" s="444"/>
      <c r="E100" s="445"/>
      <c r="F100" s="542"/>
      <c r="G100" s="443"/>
      <c r="H100" s="444"/>
      <c r="I100" s="539"/>
      <c r="J100" s="533"/>
      <c r="K100" s="418"/>
      <c r="L100" s="445"/>
      <c r="P100" s="112"/>
      <c r="Q100" s="102"/>
      <c r="R100" s="102"/>
      <c r="S100" s="102"/>
      <c r="T100" s="102"/>
      <c r="U100" s="113"/>
      <c r="V100" s="136"/>
    </row>
    <row r="101">
      <c r="B101" s="536" t="s">
        <v>302</v>
      </c>
      <c r="C101" s="424"/>
      <c r="D101" s="425"/>
      <c r="E101" s="431">
        <f>SUM(I101:I104)</f>
        <v>2100</v>
      </c>
      <c r="F101" s="536" t="s">
        <v>303</v>
      </c>
      <c r="G101" s="424"/>
      <c r="H101" s="425"/>
      <c r="I101" s="537"/>
      <c r="J101" s="20"/>
      <c r="K101" s="430"/>
      <c r="L101" s="431">
        <f>sum(I101:I104) - sum(J101:J104)</f>
        <v>-1000</v>
      </c>
      <c r="P101" s="298"/>
    </row>
    <row r="102">
      <c r="B102" s="432"/>
      <c r="D102" s="433"/>
      <c r="E102" s="434"/>
      <c r="F102" s="543" t="s">
        <v>338</v>
      </c>
      <c r="H102" s="433"/>
      <c r="I102" s="544">
        <v>1500.0</v>
      </c>
      <c r="J102" s="533">
        <v>2100.0</v>
      </c>
      <c r="K102" s="418"/>
      <c r="L102" s="434"/>
      <c r="P102" s="298"/>
    </row>
    <row r="103">
      <c r="B103" s="438"/>
      <c r="D103" s="439"/>
      <c r="E103" s="37"/>
      <c r="F103" s="545" t="s">
        <v>299</v>
      </c>
      <c r="H103" s="439"/>
      <c r="I103" s="537">
        <v>600.0</v>
      </c>
      <c r="J103" s="20">
        <v>1000.0</v>
      </c>
      <c r="K103" s="430"/>
      <c r="L103" s="37"/>
      <c r="P103" s="298"/>
    </row>
    <row r="104">
      <c r="B104" s="442"/>
      <c r="C104" s="443"/>
      <c r="D104" s="444"/>
      <c r="E104" s="445"/>
      <c r="F104" s="542"/>
      <c r="G104" s="443"/>
      <c r="H104" s="444"/>
      <c r="I104" s="539"/>
      <c r="J104" s="533"/>
      <c r="K104" s="418"/>
      <c r="L104" s="445"/>
      <c r="P104" s="298"/>
    </row>
    <row r="105">
      <c r="B105" s="536" t="s">
        <v>73</v>
      </c>
      <c r="C105" s="424"/>
      <c r="D105" s="425"/>
      <c r="E105" s="431">
        <f>SUM(I105:I108)</f>
        <v>10000</v>
      </c>
      <c r="F105" s="536" t="s">
        <v>305</v>
      </c>
      <c r="G105" s="424"/>
      <c r="H105" s="425"/>
      <c r="I105" s="552">
        <v>5000.0</v>
      </c>
      <c r="J105" s="20"/>
      <c r="K105" s="430"/>
      <c r="L105" s="431">
        <f>sum(I105:I108) - sum(J105:J108)</f>
        <v>10000</v>
      </c>
      <c r="P105" s="298"/>
    </row>
    <row r="106">
      <c r="B106" s="432"/>
      <c r="D106" s="433"/>
      <c r="E106" s="434"/>
      <c r="F106" s="543" t="s">
        <v>306</v>
      </c>
      <c r="H106" s="433"/>
      <c r="I106" s="553">
        <v>5000.0</v>
      </c>
      <c r="J106" s="533"/>
      <c r="K106" s="418"/>
      <c r="L106" s="434"/>
      <c r="P106" s="298"/>
    </row>
    <row r="107">
      <c r="B107" s="438"/>
      <c r="D107" s="439"/>
      <c r="E107" s="37"/>
      <c r="F107" s="545" t="s">
        <v>307</v>
      </c>
      <c r="H107" s="439"/>
      <c r="I107" s="537"/>
      <c r="J107" s="20"/>
      <c r="K107" s="430"/>
      <c r="L107" s="37"/>
      <c r="P107" s="298"/>
    </row>
    <row r="108">
      <c r="B108" s="442"/>
      <c r="C108" s="443"/>
      <c r="D108" s="444"/>
      <c r="E108" s="445"/>
      <c r="F108" s="542"/>
      <c r="G108" s="443"/>
      <c r="H108" s="444"/>
      <c r="I108" s="539"/>
      <c r="J108" s="533"/>
      <c r="K108" s="418"/>
      <c r="L108" s="445"/>
      <c r="P108" s="298"/>
    </row>
    <row r="109">
      <c r="B109" s="536" t="s">
        <v>119</v>
      </c>
      <c r="C109" s="424"/>
      <c r="D109" s="425"/>
      <c r="E109" s="431">
        <f>SUM(I109:I112)</f>
        <v>5000</v>
      </c>
      <c r="F109" s="536" t="s">
        <v>308</v>
      </c>
      <c r="G109" s="424"/>
      <c r="H109" s="425"/>
      <c r="I109" s="552">
        <v>5000.0</v>
      </c>
      <c r="J109" s="20"/>
      <c r="K109" s="430"/>
      <c r="L109" s="431">
        <f>sum(I109:I112) - sum(J109:J112)</f>
        <v>5000</v>
      </c>
      <c r="P109" s="298"/>
    </row>
    <row r="110">
      <c r="B110" s="432"/>
      <c r="D110" s="433"/>
      <c r="E110" s="434"/>
      <c r="F110" s="538"/>
      <c r="H110" s="433"/>
      <c r="I110" s="539"/>
      <c r="J110" s="533"/>
      <c r="K110" s="418"/>
      <c r="L110" s="434"/>
      <c r="P110" s="298"/>
    </row>
    <row r="111">
      <c r="B111" s="438"/>
      <c r="D111" s="439"/>
      <c r="E111" s="37"/>
      <c r="F111" s="540"/>
      <c r="H111" s="439"/>
      <c r="I111" s="541"/>
      <c r="J111" s="20"/>
      <c r="K111" s="430"/>
      <c r="L111" s="37"/>
      <c r="P111" s="298"/>
    </row>
    <row r="112">
      <c r="B112" s="442"/>
      <c r="C112" s="443"/>
      <c r="D112" s="444"/>
      <c r="E112" s="445"/>
      <c r="F112" s="542"/>
      <c r="G112" s="443"/>
      <c r="H112" s="444"/>
      <c r="I112" s="539"/>
      <c r="J112" s="533"/>
      <c r="K112" s="418"/>
      <c r="L112" s="445"/>
      <c r="P112" s="298"/>
    </row>
    <row r="113">
      <c r="B113" s="536" t="s">
        <v>142</v>
      </c>
      <c r="C113" s="424"/>
      <c r="D113" s="425"/>
      <c r="E113" s="431">
        <f>SUM(I113:I116)</f>
        <v>4000</v>
      </c>
      <c r="F113" s="536" t="s">
        <v>309</v>
      </c>
      <c r="G113" s="424"/>
      <c r="H113" s="425"/>
      <c r="I113" s="552"/>
      <c r="J113" s="20"/>
      <c r="K113" s="430"/>
      <c r="L113" s="431">
        <f>sum(I113:I116) - sum(J113:J116)</f>
        <v>4000</v>
      </c>
      <c r="P113" s="298"/>
    </row>
    <row r="114">
      <c r="B114" s="432"/>
      <c r="D114" s="433"/>
      <c r="E114" s="434"/>
      <c r="F114" s="543" t="s">
        <v>310</v>
      </c>
      <c r="H114" s="433"/>
      <c r="I114" s="553">
        <v>1000.0</v>
      </c>
      <c r="J114" s="533"/>
      <c r="K114" s="418"/>
      <c r="L114" s="434"/>
      <c r="P114" s="298"/>
    </row>
    <row r="115">
      <c r="B115" s="438"/>
      <c r="D115" s="439"/>
      <c r="E115" s="37"/>
      <c r="F115" s="545" t="s">
        <v>311</v>
      </c>
      <c r="H115" s="439"/>
      <c r="I115" s="552">
        <v>1000.0</v>
      </c>
      <c r="J115" s="20"/>
      <c r="K115" s="430"/>
      <c r="L115" s="37"/>
      <c r="P115" s="298"/>
    </row>
    <row r="116">
      <c r="B116" s="442"/>
      <c r="C116" s="443"/>
      <c r="D116" s="444"/>
      <c r="E116" s="445"/>
      <c r="F116" s="546" t="s">
        <v>339</v>
      </c>
      <c r="G116" s="443"/>
      <c r="H116" s="444"/>
      <c r="I116" s="553">
        <v>2000.0</v>
      </c>
      <c r="J116" s="533"/>
      <c r="K116" s="418"/>
      <c r="L116" s="445"/>
      <c r="P116" s="298"/>
    </row>
    <row r="117"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B124" s="409" t="s">
        <v>340</v>
      </c>
      <c r="C124" s="410"/>
      <c r="D124" s="410"/>
      <c r="E124" s="410"/>
      <c r="F124" s="410"/>
      <c r="G124" s="410"/>
      <c r="H124" s="411"/>
      <c r="I124" s="527">
        <f t="shared" ref="I124:J124" si="7">SUM(I127:I156)</f>
        <v>34970</v>
      </c>
      <c r="J124" s="409">
        <f t="shared" si="7"/>
        <v>61489</v>
      </c>
      <c r="K124" s="411"/>
      <c r="L124" s="412"/>
      <c r="P124" s="298"/>
    </row>
    <row r="125">
      <c r="B125" s="413"/>
      <c r="C125" s="414"/>
      <c r="D125" s="414"/>
      <c r="E125" s="414"/>
      <c r="F125" s="414"/>
      <c r="G125" s="414"/>
      <c r="H125" s="415"/>
      <c r="I125" s="51"/>
      <c r="J125" s="413"/>
      <c r="K125" s="415"/>
      <c r="L125" s="51"/>
      <c r="P125" s="298"/>
    </row>
    <row r="126">
      <c r="B126" s="482" t="s">
        <v>107</v>
      </c>
      <c r="C126" s="417"/>
      <c r="D126" s="418"/>
      <c r="E126" s="483" t="s">
        <v>43</v>
      </c>
      <c r="F126" s="484" t="s">
        <v>108</v>
      </c>
      <c r="G126" s="417"/>
      <c r="H126" s="418"/>
      <c r="I126" s="483" t="s">
        <v>43</v>
      </c>
      <c r="J126" s="485" t="s">
        <v>4</v>
      </c>
      <c r="K126" s="418"/>
      <c r="L126" s="486" t="s">
        <v>206</v>
      </c>
      <c r="P126" s="298"/>
    </row>
    <row r="127">
      <c r="B127" s="423" t="s">
        <v>114</v>
      </c>
      <c r="C127" s="424"/>
      <c r="D127" s="425"/>
      <c r="E127" s="426">
        <f>Sum(I127:I132)</f>
        <v>17120</v>
      </c>
      <c r="F127" s="427" t="str">
        <f t="array" ref="F127:F155">INDIRECT("Subcategory")</f>
        <v>HouseRent</v>
      </c>
      <c r="G127" s="424"/>
      <c r="H127" s="425"/>
      <c r="I127" s="428">
        <v>13000.0</v>
      </c>
      <c r="J127" s="429">
        <f t="array" ref="J127">sum(IF(($R$3:$R$100=F127), $T$3:$T$100, 0))</f>
        <v>13000</v>
      </c>
      <c r="K127" s="430"/>
      <c r="L127" s="431">
        <f>sum(J127:J132)</f>
        <v>15945</v>
      </c>
      <c r="P127" s="298"/>
    </row>
    <row r="128">
      <c r="B128" s="432"/>
      <c r="D128" s="433"/>
      <c r="E128" s="434"/>
      <c r="F128" s="435" t="s">
        <v>118</v>
      </c>
      <c r="H128" s="433"/>
      <c r="I128" s="436">
        <v>1000.0</v>
      </c>
      <c r="J128" s="437">
        <f t="array" ref="J128">sum(IF(($R$3:$R$100=F128), $T$3:$T$100, 0))</f>
        <v>0</v>
      </c>
      <c r="K128" s="418"/>
      <c r="L128" s="434"/>
      <c r="P128" s="298"/>
    </row>
    <row r="129">
      <c r="B129" s="438"/>
      <c r="D129" s="439"/>
      <c r="E129" s="37"/>
      <c r="F129" s="440" t="s">
        <v>122</v>
      </c>
      <c r="H129" s="439"/>
      <c r="I129" s="441">
        <v>400.0</v>
      </c>
      <c r="J129" s="429">
        <f t="array" ref="J129">sum(IF(($R$3:$R$100=F129), $T$3:$T$100, 0))</f>
        <v>225</v>
      </c>
      <c r="K129" s="430"/>
      <c r="L129" s="37"/>
      <c r="P129" s="298"/>
    </row>
    <row r="130">
      <c r="B130" s="432"/>
      <c r="D130" s="433"/>
      <c r="E130" s="434"/>
      <c r="F130" s="435" t="s">
        <v>126</v>
      </c>
      <c r="H130" s="433"/>
      <c r="I130" s="419">
        <v>1080.0</v>
      </c>
      <c r="J130" s="437">
        <f t="array" ref="J130">sum(IF(($R$3:$R$100=F130), $T$3:$T$100, 0))</f>
        <v>1080</v>
      </c>
      <c r="K130" s="418"/>
      <c r="L130" s="434"/>
      <c r="P130" s="298"/>
    </row>
    <row r="131">
      <c r="B131" s="438"/>
      <c r="D131" s="439"/>
      <c r="E131" s="37"/>
      <c r="F131" s="440" t="s">
        <v>130</v>
      </c>
      <c r="H131" s="439"/>
      <c r="I131" s="441">
        <v>840.0</v>
      </c>
      <c r="J131" s="429">
        <f t="array" ref="J131">sum(IF(($R$3:$R$100=F131), $T$3:$T$100, 0))</f>
        <v>840</v>
      </c>
      <c r="K131" s="430"/>
      <c r="L131" s="37"/>
      <c r="P131" s="298"/>
    </row>
    <row r="132">
      <c r="B132" s="442"/>
      <c r="C132" s="443"/>
      <c r="D132" s="444"/>
      <c r="E132" s="445"/>
      <c r="F132" s="446" t="s">
        <v>133</v>
      </c>
      <c r="G132" s="443"/>
      <c r="H132" s="444"/>
      <c r="I132" s="419">
        <v>800.0</v>
      </c>
      <c r="J132" s="437">
        <f t="array" ref="J132">sum(IF(($R$3:$R$100=F132), $T$3:$T$100, 0))</f>
        <v>800</v>
      </c>
      <c r="K132" s="418"/>
      <c r="L132" s="445"/>
      <c r="P132" s="298"/>
    </row>
    <row r="133">
      <c r="B133" s="447" t="s">
        <v>119</v>
      </c>
      <c r="C133" s="424"/>
      <c r="D133" s="425"/>
      <c r="E133" s="431">
        <f>Sum(I133:I136)</f>
        <v>11500</v>
      </c>
      <c r="F133" s="448" t="s">
        <v>135</v>
      </c>
      <c r="G133" s="424"/>
      <c r="H133" s="425"/>
      <c r="I133" s="449">
        <v>500.0</v>
      </c>
      <c r="J133" s="450">
        <f t="array" ref="J133">sum(IF(($R$3:$R$100=F133), $T$3:$T$100, 0))</f>
        <v>0</v>
      </c>
      <c r="K133" s="430"/>
      <c r="L133" s="431">
        <f>sum(J133:J136)</f>
        <v>10030</v>
      </c>
      <c r="P133" s="298"/>
    </row>
    <row r="134">
      <c r="B134" s="432"/>
      <c r="D134" s="433"/>
      <c r="E134" s="434"/>
      <c r="F134" s="451" t="s">
        <v>138</v>
      </c>
      <c r="H134" s="433"/>
      <c r="I134" s="452">
        <v>500.0</v>
      </c>
      <c r="J134" s="453">
        <f t="array" ref="J134">sum(IF(($R$3:$R$100=F134), $T$3:$T$100, 0))</f>
        <v>1460</v>
      </c>
      <c r="K134" s="418"/>
      <c r="L134" s="434"/>
      <c r="P134" s="298"/>
    </row>
    <row r="135">
      <c r="B135" s="438"/>
      <c r="D135" s="439"/>
      <c r="E135" s="37"/>
      <c r="F135" s="454" t="s">
        <v>141</v>
      </c>
      <c r="H135" s="439"/>
      <c r="I135" s="449">
        <v>10000.0</v>
      </c>
      <c r="J135" s="450">
        <f t="array" ref="J135">sum(IF(($R$3:$R$100=F135), $T$3:$T$100, 0))</f>
        <v>8120</v>
      </c>
      <c r="K135" s="430"/>
      <c r="L135" s="37"/>
      <c r="P135" s="298"/>
    </row>
    <row r="136">
      <c r="B136" s="442"/>
      <c r="C136" s="443"/>
      <c r="D136" s="444"/>
      <c r="E136" s="445"/>
      <c r="F136" s="455" t="s">
        <v>142</v>
      </c>
      <c r="G136" s="443"/>
      <c r="H136" s="444"/>
      <c r="I136" s="452">
        <v>500.0</v>
      </c>
      <c r="J136" s="453">
        <f t="array" ref="J136">sum(IF(($R$3:$R$100=F136), $T$3:$T$100, 0))</f>
        <v>450</v>
      </c>
      <c r="K136" s="418"/>
      <c r="L136" s="445"/>
      <c r="P136" s="298"/>
    </row>
    <row r="137">
      <c r="B137" s="447" t="s">
        <v>123</v>
      </c>
      <c r="C137" s="424"/>
      <c r="D137" s="425"/>
      <c r="E137" s="431">
        <f>sum(I137:I139)</f>
        <v>800</v>
      </c>
      <c r="F137" s="448" t="s">
        <v>123</v>
      </c>
      <c r="G137" s="424"/>
      <c r="H137" s="425"/>
      <c r="I137" s="456">
        <v>0.0</v>
      </c>
      <c r="J137" s="450">
        <f t="array" ref="J137">sum(IF(($R$3:$R$100=F137), $T$3:$T$100, 0))</f>
        <v>0</v>
      </c>
      <c r="K137" s="430"/>
      <c r="L137" s="431">
        <f>sum(J137:J140)</f>
        <v>1724</v>
      </c>
      <c r="P137" s="298"/>
    </row>
    <row r="138">
      <c r="B138" s="432"/>
      <c r="D138" s="433"/>
      <c r="E138" s="434"/>
      <c r="F138" s="451" t="s">
        <v>144</v>
      </c>
      <c r="H138" s="433"/>
      <c r="I138" s="452">
        <v>300.0</v>
      </c>
      <c r="J138" s="453">
        <f t="array" ref="J138">sum(IF(($R$3:$R$100=F138), $T$3:$T$100, 0))</f>
        <v>280</v>
      </c>
      <c r="K138" s="418"/>
      <c r="L138" s="434"/>
      <c r="P138" s="298"/>
    </row>
    <row r="139">
      <c r="B139" s="413"/>
      <c r="C139" s="414"/>
      <c r="D139" s="415"/>
      <c r="E139" s="51"/>
      <c r="F139" s="457" t="s">
        <v>145</v>
      </c>
      <c r="G139" s="414"/>
      <c r="H139" s="415"/>
      <c r="I139" s="449">
        <v>500.0</v>
      </c>
      <c r="J139" s="450">
        <f t="array" ref="J139">sum(IF(($R$3:$R$100=F139), $T$3:$T$100, 0))</f>
        <v>885</v>
      </c>
      <c r="K139" s="430"/>
      <c r="L139" s="51"/>
      <c r="P139" s="298"/>
    </row>
    <row r="140">
      <c r="B140" s="458" t="s">
        <v>127</v>
      </c>
      <c r="C140" s="459"/>
      <c r="D140" s="460"/>
      <c r="E140" s="461">
        <f>I140+I141</f>
        <v>250</v>
      </c>
      <c r="F140" s="462" t="s">
        <v>146</v>
      </c>
      <c r="G140" s="459"/>
      <c r="H140" s="460"/>
      <c r="I140" s="436">
        <v>50.0</v>
      </c>
      <c r="J140" s="453">
        <f t="array" ref="J140">sum(IF(($R$3:$R$100=F140), $T$3:$T$100, 0))</f>
        <v>559</v>
      </c>
      <c r="K140" s="418"/>
      <c r="L140" s="464">
        <f>J140+J141</f>
        <v>1184</v>
      </c>
      <c r="P140" s="298"/>
    </row>
    <row r="141">
      <c r="B141" s="413"/>
      <c r="C141" s="414"/>
      <c r="D141" s="415"/>
      <c r="E141" s="51"/>
      <c r="F141" s="454" t="s">
        <v>147</v>
      </c>
      <c r="H141" s="439"/>
      <c r="I141" s="441">
        <v>200.0</v>
      </c>
      <c r="J141" s="450">
        <f t="array" ref="J141">sum(IF(($R$3:$R$100=F141), $T$3:$T$100, 0))</f>
        <v>625</v>
      </c>
      <c r="K141" s="430"/>
      <c r="L141" s="51"/>
      <c r="P141" s="298"/>
    </row>
    <row r="142">
      <c r="B142" s="458" t="s">
        <v>131</v>
      </c>
      <c r="C142" s="459"/>
      <c r="D142" s="460"/>
      <c r="E142" s="467">
        <f>I142+I143+I144+I145+I146</f>
        <v>2700</v>
      </c>
      <c r="F142" s="462" t="s">
        <v>148</v>
      </c>
      <c r="G142" s="459"/>
      <c r="H142" s="460"/>
      <c r="I142" s="487">
        <v>200.0</v>
      </c>
      <c r="J142" s="453">
        <f t="array" ref="J142">sum(IF(($R$3:$R$100=F142), $T$3:$T$100, 0))</f>
        <v>560</v>
      </c>
      <c r="K142" s="418"/>
      <c r="L142" s="464">
        <f>J142+J143+J144+J145+J146</f>
        <v>28425</v>
      </c>
      <c r="P142" s="298"/>
    </row>
    <row r="143">
      <c r="B143" s="438"/>
      <c r="D143" s="439"/>
      <c r="E143" s="438"/>
      <c r="F143" s="454" t="s">
        <v>23</v>
      </c>
      <c r="H143" s="439"/>
      <c r="I143" s="488">
        <v>0.0</v>
      </c>
      <c r="J143" s="450">
        <f t="array" ref="J143">sum(IF(($R$3:$R$100=F143), $T$3:$T$100, 0))</f>
        <v>10110</v>
      </c>
      <c r="K143" s="430"/>
      <c r="L143" s="37"/>
      <c r="P143" s="298"/>
    </row>
    <row r="144">
      <c r="B144" s="432"/>
      <c r="D144" s="433"/>
      <c r="E144" s="432"/>
      <c r="F144" s="451" t="s">
        <v>149</v>
      </c>
      <c r="H144" s="433"/>
      <c r="I144" s="489">
        <v>2500.0</v>
      </c>
      <c r="J144" s="453">
        <f t="array" ref="J144">sum(IF(($R$3:$R$100=F144), $T$3:$T$100, 0))</f>
        <v>2475</v>
      </c>
      <c r="K144" s="418"/>
      <c r="L144" s="434"/>
      <c r="P144" s="298"/>
    </row>
    <row r="145">
      <c r="B145" s="438"/>
      <c r="D145" s="439"/>
      <c r="E145" s="438"/>
      <c r="F145" s="454" t="s">
        <v>150</v>
      </c>
      <c r="H145" s="439"/>
      <c r="I145" s="490">
        <v>0.0</v>
      </c>
      <c r="J145" s="450">
        <f t="array" ref="J145">sum(IF(($R$3:$R$100=F145), $T$3:$T$100, 0))</f>
        <v>9540</v>
      </c>
      <c r="K145" s="430"/>
      <c r="L145" s="37"/>
      <c r="P145" s="298"/>
    </row>
    <row r="146">
      <c r="B146" s="442"/>
      <c r="C146" s="443"/>
      <c r="D146" s="444"/>
      <c r="E146" s="442"/>
      <c r="F146" s="451" t="s">
        <v>131</v>
      </c>
      <c r="H146" s="433"/>
      <c r="I146" s="491">
        <v>0.0</v>
      </c>
      <c r="J146" s="467">
        <f t="array" ref="J146">sum(IF(($R$3:$R$100=F146), $T$3:$T$100, 0))</f>
        <v>5740</v>
      </c>
      <c r="K146" s="460"/>
      <c r="L146" s="445"/>
      <c r="P146" s="298"/>
    </row>
    <row r="147">
      <c r="B147" s="38" t="s">
        <v>134</v>
      </c>
      <c r="D147" s="439"/>
      <c r="E147" s="492">
        <f>sum(I147:I150)</f>
        <v>2500</v>
      </c>
      <c r="F147" s="448" t="s">
        <v>116</v>
      </c>
      <c r="G147" s="424"/>
      <c r="H147" s="425"/>
      <c r="I147" s="490">
        <v>2500.0</v>
      </c>
      <c r="J147" s="468">
        <f t="array" ref="J147">sum(IF(($R$3:$R$100=F147), $T$3:$T$100, 0))</f>
        <v>2500</v>
      </c>
      <c r="K147" s="425"/>
      <c r="L147" s="431">
        <f>sum(J147:J150)</f>
        <v>2500</v>
      </c>
      <c r="P147" s="298"/>
    </row>
    <row r="148">
      <c r="B148" s="432"/>
      <c r="D148" s="433"/>
      <c r="E148" s="432"/>
      <c r="F148" s="493" t="s">
        <v>121</v>
      </c>
      <c r="H148" s="433"/>
      <c r="I148" s="494">
        <v>0.0</v>
      </c>
      <c r="J148" s="470">
        <f t="array" ref="J148">sum(IF(($R$3:$R$100=F148), $T$3:$T$100, 0))</f>
        <v>0</v>
      </c>
      <c r="K148" s="460"/>
      <c r="L148" s="434"/>
      <c r="P148" s="298"/>
    </row>
    <row r="149">
      <c r="B149" s="438"/>
      <c r="D149" s="439"/>
      <c r="E149" s="438"/>
      <c r="F149" s="454" t="s">
        <v>125</v>
      </c>
      <c r="H149" s="439"/>
      <c r="I149" s="490">
        <v>0.0</v>
      </c>
      <c r="J149" s="468">
        <f t="array" ref="J149">sum(IF(($R$3:$R$100=F149), $T$3:$T$100, 0))</f>
        <v>0</v>
      </c>
      <c r="K149" s="425"/>
      <c r="L149" s="37"/>
      <c r="P149" s="298"/>
    </row>
    <row r="150">
      <c r="B150" s="432"/>
      <c r="D150" s="433"/>
      <c r="E150" s="442"/>
      <c r="F150" s="493" t="s">
        <v>129</v>
      </c>
      <c r="H150" s="433"/>
      <c r="I150" s="494">
        <v>0.0</v>
      </c>
      <c r="J150" s="472">
        <f t="array" ref="J150">sum(IF(($R$3:$R$100=F150), $T$3:$T$100, 0))</f>
        <v>0</v>
      </c>
      <c r="K150" s="418"/>
      <c r="L150" s="445"/>
      <c r="P150" s="298"/>
    </row>
    <row r="151">
      <c r="B151" s="447" t="s">
        <v>26</v>
      </c>
      <c r="C151" s="424"/>
      <c r="D151" s="425"/>
      <c r="E151" s="495"/>
      <c r="F151" s="495" t="s">
        <v>132</v>
      </c>
      <c r="G151" s="424"/>
      <c r="H151" s="425"/>
      <c r="I151" s="496">
        <v>100.0</v>
      </c>
      <c r="J151" s="497">
        <f t="array" ref="J151">sum(IF(($R$3:$R$100=F151), $T$3:$T$100, 0))</f>
        <v>0</v>
      </c>
      <c r="K151" s="430"/>
      <c r="L151" s="466"/>
      <c r="P151" s="298"/>
    </row>
    <row r="152">
      <c r="B152" s="442"/>
      <c r="C152" s="443"/>
      <c r="D152" s="444"/>
      <c r="E152" s="442"/>
      <c r="F152" s="493" t="s">
        <v>26</v>
      </c>
      <c r="H152" s="433"/>
      <c r="I152" s="551"/>
      <c r="J152" s="472">
        <f t="array" ref="J152">sum(IF(($R$3:$R$100=F152), $T$3:$T$100, 0))</f>
        <v>2200</v>
      </c>
      <c r="K152" s="418"/>
      <c r="L152" s="445"/>
      <c r="P152" s="298"/>
    </row>
    <row r="153">
      <c r="B153" s="447" t="s">
        <v>139</v>
      </c>
      <c r="C153" s="424"/>
      <c r="D153" s="425"/>
      <c r="E153" s="495"/>
      <c r="F153" s="495" t="s">
        <v>151</v>
      </c>
      <c r="G153" s="424"/>
      <c r="H153" s="425"/>
      <c r="I153" s="499"/>
      <c r="J153" s="497">
        <f t="array" ref="J153">sum(IF(($R$3:$R$100=F153), $T$3:$T$100, 0))</f>
        <v>40</v>
      </c>
      <c r="K153" s="430"/>
      <c r="L153" s="466"/>
      <c r="P153" s="298"/>
    </row>
    <row r="154">
      <c r="B154" s="442"/>
      <c r="C154" s="443"/>
      <c r="D154" s="444"/>
      <c r="E154" s="442"/>
      <c r="F154" s="469" t="s">
        <v>152</v>
      </c>
      <c r="G154" s="443"/>
      <c r="H154" s="444"/>
      <c r="I154" s="498"/>
      <c r="J154" s="472">
        <f t="array" ref="J154">sum(IF(($R$3:$R$100=F154), $T$3:$T$100, 0))</f>
        <v>0</v>
      </c>
      <c r="K154" s="418"/>
      <c r="L154" s="445"/>
      <c r="P154" s="298"/>
    </row>
    <row r="155">
      <c r="F155" s="298" t="s">
        <v>153</v>
      </c>
      <c r="P155" s="298"/>
    </row>
    <row r="156">
      <c r="P156" s="298"/>
    </row>
    <row r="157">
      <c r="H157" s="500" t="s">
        <v>96</v>
      </c>
      <c r="I157" s="501">
        <f t="shared" ref="I157:J157" si="8">SUM(I127:I154)</f>
        <v>34970</v>
      </c>
      <c r="J157" s="501">
        <f t="shared" si="8"/>
        <v>61489</v>
      </c>
      <c r="L157" s="502">
        <f t="shared" ref="L157:L159" si="10">I157-J157</f>
        <v>-26519</v>
      </c>
      <c r="P157" s="298"/>
    </row>
    <row r="158">
      <c r="H158" s="503" t="s">
        <v>190</v>
      </c>
      <c r="I158" s="504">
        <f t="shared" ref="I158:J158" si="9">I128+I129+I131+I140+I141+I145+I149+I150+I144+I146+I147+I148</f>
        <v>7490</v>
      </c>
      <c r="J158" s="504">
        <f t="shared" si="9"/>
        <v>22504</v>
      </c>
      <c r="L158" s="505">
        <f t="shared" si="10"/>
        <v>-15014</v>
      </c>
      <c r="P158" s="298"/>
    </row>
    <row r="159">
      <c r="H159" s="506" t="s">
        <v>51</v>
      </c>
      <c r="I159" s="507">
        <f t="shared" ref="I159:J159" si="11">I157-I158</f>
        <v>27480</v>
      </c>
      <c r="J159" s="507">
        <f t="shared" si="11"/>
        <v>38985</v>
      </c>
      <c r="L159" s="508">
        <f t="shared" si="10"/>
        <v>-11505</v>
      </c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307">
    <mergeCell ref="B2:F2"/>
    <mergeCell ref="H2:H3"/>
    <mergeCell ref="I2:I3"/>
    <mergeCell ref="L2:M2"/>
    <mergeCell ref="W2:Y2"/>
    <mergeCell ref="X3:Y3"/>
    <mergeCell ref="X4:Y4"/>
    <mergeCell ref="X12:Y12"/>
    <mergeCell ref="X13:Y13"/>
    <mergeCell ref="X14:Y14"/>
    <mergeCell ref="L15:M15"/>
    <mergeCell ref="X15:Y15"/>
    <mergeCell ref="X5:Y5"/>
    <mergeCell ref="X6:Y6"/>
    <mergeCell ref="X7:Y7"/>
    <mergeCell ref="X8:Y8"/>
    <mergeCell ref="X9:Y9"/>
    <mergeCell ref="X10:Y10"/>
    <mergeCell ref="X11:Y11"/>
    <mergeCell ref="X16:Y16"/>
    <mergeCell ref="X17:Y17"/>
    <mergeCell ref="X18:Y18"/>
    <mergeCell ref="X19:Y19"/>
    <mergeCell ref="X20:Y20"/>
    <mergeCell ref="X21:Y21"/>
    <mergeCell ref="X22:Y22"/>
    <mergeCell ref="X23:Y23"/>
    <mergeCell ref="L24:M24"/>
    <mergeCell ref="L33:M33"/>
    <mergeCell ref="B42:H43"/>
    <mergeCell ref="I42:I43"/>
    <mergeCell ref="J42:K43"/>
    <mergeCell ref="L42:L43"/>
    <mergeCell ref="F45:H45"/>
    <mergeCell ref="F46:H46"/>
    <mergeCell ref="F44:H44"/>
    <mergeCell ref="F47:H47"/>
    <mergeCell ref="L58:L59"/>
    <mergeCell ref="L60:L64"/>
    <mergeCell ref="J61:K61"/>
    <mergeCell ref="J62:K62"/>
    <mergeCell ref="J63:K63"/>
    <mergeCell ref="J64:K64"/>
    <mergeCell ref="J52:K52"/>
    <mergeCell ref="J53:K53"/>
    <mergeCell ref="L55:L57"/>
    <mergeCell ref="J56:K56"/>
    <mergeCell ref="J57:K57"/>
    <mergeCell ref="J59:K59"/>
    <mergeCell ref="J60:K60"/>
    <mergeCell ref="F54:H54"/>
    <mergeCell ref="J54:K54"/>
    <mergeCell ref="F55:H55"/>
    <mergeCell ref="J55:K55"/>
    <mergeCell ref="F56:H56"/>
    <mergeCell ref="F57:H57"/>
    <mergeCell ref="J58:K58"/>
    <mergeCell ref="F58:H58"/>
    <mergeCell ref="F59:H59"/>
    <mergeCell ref="F60:H60"/>
    <mergeCell ref="F61:H61"/>
    <mergeCell ref="F62:H62"/>
    <mergeCell ref="F63:H63"/>
    <mergeCell ref="F64:H64"/>
    <mergeCell ref="J67:K67"/>
    <mergeCell ref="J68:K68"/>
    <mergeCell ref="F65:H65"/>
    <mergeCell ref="J65:K65"/>
    <mergeCell ref="L65:L68"/>
    <mergeCell ref="F66:H66"/>
    <mergeCell ref="J66:K66"/>
    <mergeCell ref="F67:H67"/>
    <mergeCell ref="F68:H68"/>
    <mergeCell ref="F71:H71"/>
    <mergeCell ref="F72:H72"/>
    <mergeCell ref="F69:H69"/>
    <mergeCell ref="J69:K69"/>
    <mergeCell ref="L69:L70"/>
    <mergeCell ref="F70:H70"/>
    <mergeCell ref="J70:K70"/>
    <mergeCell ref="J71:K71"/>
    <mergeCell ref="L71:L72"/>
    <mergeCell ref="F89:H89"/>
    <mergeCell ref="F92:H92"/>
    <mergeCell ref="F93:H93"/>
    <mergeCell ref="J87:K87"/>
    <mergeCell ref="F88:H88"/>
    <mergeCell ref="J88:K88"/>
    <mergeCell ref="J89:K89"/>
    <mergeCell ref="L89:L92"/>
    <mergeCell ref="J90:K90"/>
    <mergeCell ref="J91:K91"/>
    <mergeCell ref="F99:H99"/>
    <mergeCell ref="F100:H100"/>
    <mergeCell ref="F90:H90"/>
    <mergeCell ref="F91:H91"/>
    <mergeCell ref="F94:H94"/>
    <mergeCell ref="F95:H95"/>
    <mergeCell ref="F96:H96"/>
    <mergeCell ref="F97:H97"/>
    <mergeCell ref="F98:H98"/>
    <mergeCell ref="B151:D152"/>
    <mergeCell ref="E151:E152"/>
    <mergeCell ref="F151:H151"/>
    <mergeCell ref="F152:H152"/>
    <mergeCell ref="B153:D154"/>
    <mergeCell ref="E153:E154"/>
    <mergeCell ref="F153:H153"/>
    <mergeCell ref="F154:H154"/>
    <mergeCell ref="B142:D146"/>
    <mergeCell ref="B147:D150"/>
    <mergeCell ref="E147:E150"/>
    <mergeCell ref="F147:H147"/>
    <mergeCell ref="F148:H148"/>
    <mergeCell ref="F149:H149"/>
    <mergeCell ref="F150:H150"/>
    <mergeCell ref="B101:D104"/>
    <mergeCell ref="B105:D108"/>
    <mergeCell ref="E105:E108"/>
    <mergeCell ref="F105:H105"/>
    <mergeCell ref="F106:H106"/>
    <mergeCell ref="F107:H107"/>
    <mergeCell ref="F108:H108"/>
    <mergeCell ref="F109:H109"/>
    <mergeCell ref="F110:H110"/>
    <mergeCell ref="B113:D116"/>
    <mergeCell ref="E113:E116"/>
    <mergeCell ref="F113:H113"/>
    <mergeCell ref="F114:H114"/>
    <mergeCell ref="F115:H115"/>
    <mergeCell ref="F127:H127"/>
    <mergeCell ref="F128:H128"/>
    <mergeCell ref="F129:H129"/>
    <mergeCell ref="F130:H130"/>
    <mergeCell ref="F116:H116"/>
    <mergeCell ref="B124:H125"/>
    <mergeCell ref="I124:I125"/>
    <mergeCell ref="B126:D126"/>
    <mergeCell ref="F126:H126"/>
    <mergeCell ref="B127:D132"/>
    <mergeCell ref="E127:E132"/>
    <mergeCell ref="F131:H131"/>
    <mergeCell ref="F132:H132"/>
    <mergeCell ref="F133:H133"/>
    <mergeCell ref="F134:H134"/>
    <mergeCell ref="F135:H135"/>
    <mergeCell ref="F136:H136"/>
    <mergeCell ref="F137:H137"/>
    <mergeCell ref="B133:D136"/>
    <mergeCell ref="E133:E136"/>
    <mergeCell ref="B137:D139"/>
    <mergeCell ref="E137:E139"/>
    <mergeCell ref="B140:D141"/>
    <mergeCell ref="E140:E141"/>
    <mergeCell ref="E142:E146"/>
    <mergeCell ref="J47:K47"/>
    <mergeCell ref="F48:H48"/>
    <mergeCell ref="J48:K48"/>
    <mergeCell ref="F49:H49"/>
    <mergeCell ref="J49:K49"/>
    <mergeCell ref="B44:D44"/>
    <mergeCell ref="J44:K44"/>
    <mergeCell ref="B45:D50"/>
    <mergeCell ref="E45:E50"/>
    <mergeCell ref="J45:K45"/>
    <mergeCell ref="L45:L50"/>
    <mergeCell ref="J46:K46"/>
    <mergeCell ref="F50:H50"/>
    <mergeCell ref="J50:K50"/>
    <mergeCell ref="F51:H51"/>
    <mergeCell ref="J51:K51"/>
    <mergeCell ref="L51:L54"/>
    <mergeCell ref="F52:H52"/>
    <mergeCell ref="F53:H53"/>
    <mergeCell ref="B60:D64"/>
    <mergeCell ref="B65:D68"/>
    <mergeCell ref="E65:E68"/>
    <mergeCell ref="B69:D70"/>
    <mergeCell ref="E69:E70"/>
    <mergeCell ref="B71:D72"/>
    <mergeCell ref="E71:E72"/>
    <mergeCell ref="B51:D54"/>
    <mergeCell ref="E51:E54"/>
    <mergeCell ref="B55:D57"/>
    <mergeCell ref="E55:E57"/>
    <mergeCell ref="B58:D59"/>
    <mergeCell ref="E58:E59"/>
    <mergeCell ref="E60:E64"/>
    <mergeCell ref="I82:I83"/>
    <mergeCell ref="J82:K83"/>
    <mergeCell ref="L82:L83"/>
    <mergeCell ref="F103:H103"/>
    <mergeCell ref="F104:H104"/>
    <mergeCell ref="J99:K99"/>
    <mergeCell ref="J100:K100"/>
    <mergeCell ref="F101:H101"/>
    <mergeCell ref="J101:K101"/>
    <mergeCell ref="F102:H102"/>
    <mergeCell ref="J102:K102"/>
    <mergeCell ref="J103:K103"/>
    <mergeCell ref="J104:K104"/>
    <mergeCell ref="J97:K97"/>
    <mergeCell ref="J98:K98"/>
    <mergeCell ref="J92:K92"/>
    <mergeCell ref="J93:K93"/>
    <mergeCell ref="L93:L96"/>
    <mergeCell ref="J94:K94"/>
    <mergeCell ref="J95:K95"/>
    <mergeCell ref="J96:K96"/>
    <mergeCell ref="L97:L100"/>
    <mergeCell ref="J72:K72"/>
    <mergeCell ref="J74:K74"/>
    <mergeCell ref="J75:K75"/>
    <mergeCell ref="J76:K76"/>
    <mergeCell ref="J77:K77"/>
    <mergeCell ref="J80:K80"/>
    <mergeCell ref="B82:H83"/>
    <mergeCell ref="F85:H85"/>
    <mergeCell ref="F86:H86"/>
    <mergeCell ref="F84:H84"/>
    <mergeCell ref="F87:H87"/>
    <mergeCell ref="B84:D84"/>
    <mergeCell ref="J84:K84"/>
    <mergeCell ref="B85:D88"/>
    <mergeCell ref="E85:E88"/>
    <mergeCell ref="J85:K85"/>
    <mergeCell ref="L85:L88"/>
    <mergeCell ref="J86:K86"/>
    <mergeCell ref="B89:D92"/>
    <mergeCell ref="E89:E92"/>
    <mergeCell ref="B93:D96"/>
    <mergeCell ref="E93:E96"/>
    <mergeCell ref="B97:D100"/>
    <mergeCell ref="E97:E100"/>
    <mergeCell ref="E101:E104"/>
    <mergeCell ref="B109:D112"/>
    <mergeCell ref="E109:E112"/>
    <mergeCell ref="F111:H111"/>
    <mergeCell ref="F112:H112"/>
    <mergeCell ref="J109:K109"/>
    <mergeCell ref="J110:K110"/>
    <mergeCell ref="J144:K144"/>
    <mergeCell ref="J145:K145"/>
    <mergeCell ref="J139:K139"/>
    <mergeCell ref="J140:K140"/>
    <mergeCell ref="L140:L141"/>
    <mergeCell ref="J141:K141"/>
    <mergeCell ref="J142:K142"/>
    <mergeCell ref="L142:L146"/>
    <mergeCell ref="J143:K143"/>
    <mergeCell ref="J151:K151"/>
    <mergeCell ref="J152:K152"/>
    <mergeCell ref="J153:K153"/>
    <mergeCell ref="L153:L154"/>
    <mergeCell ref="J154:K154"/>
    <mergeCell ref="J156:K156"/>
    <mergeCell ref="J157:K157"/>
    <mergeCell ref="J158:K158"/>
    <mergeCell ref="J159:K159"/>
    <mergeCell ref="J146:K146"/>
    <mergeCell ref="J147:K147"/>
    <mergeCell ref="L147:L150"/>
    <mergeCell ref="J148:K148"/>
    <mergeCell ref="J149:K149"/>
    <mergeCell ref="J150:K150"/>
    <mergeCell ref="L151:L152"/>
    <mergeCell ref="L113:L116"/>
    <mergeCell ref="J114:K114"/>
    <mergeCell ref="J115:K115"/>
    <mergeCell ref="J116:K116"/>
    <mergeCell ref="L101:L104"/>
    <mergeCell ref="J105:K105"/>
    <mergeCell ref="L105:L108"/>
    <mergeCell ref="J106:K106"/>
    <mergeCell ref="J107:K107"/>
    <mergeCell ref="J108:K108"/>
    <mergeCell ref="L109:L112"/>
    <mergeCell ref="J127:K127"/>
    <mergeCell ref="J128:K128"/>
    <mergeCell ref="J129:K129"/>
    <mergeCell ref="J130:K130"/>
    <mergeCell ref="J131:K131"/>
    <mergeCell ref="J132:K132"/>
    <mergeCell ref="J133:K133"/>
    <mergeCell ref="J111:K111"/>
    <mergeCell ref="J112:K112"/>
    <mergeCell ref="J113:K113"/>
    <mergeCell ref="J124:K125"/>
    <mergeCell ref="L124:L125"/>
    <mergeCell ref="J126:K126"/>
    <mergeCell ref="L127:L132"/>
    <mergeCell ref="L133:L136"/>
    <mergeCell ref="J134:K134"/>
    <mergeCell ref="J135:K135"/>
    <mergeCell ref="J136:K136"/>
    <mergeCell ref="J137:K137"/>
    <mergeCell ref="L137:L139"/>
    <mergeCell ref="J138:K138"/>
    <mergeCell ref="F145:H145"/>
    <mergeCell ref="F146:H146"/>
    <mergeCell ref="F138:H138"/>
    <mergeCell ref="F139:H139"/>
    <mergeCell ref="F140:H140"/>
    <mergeCell ref="F141:H141"/>
    <mergeCell ref="F142:H142"/>
    <mergeCell ref="F143:H143"/>
    <mergeCell ref="F144:H144"/>
  </mergeCells>
  <conditionalFormatting sqref="J45:K72 J85:K116 J127:K154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W4:W23 I4:I35 B4:B39 P3:P1000">
      <formula1>OR(NOT(ISERROR(DATEVALUE(B3))), AND(ISNUMBER(B3), LEFT(CELL("format", B3))="D"))</formula1>
    </dataValidation>
  </dataValidation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3.63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35779</v>
      </c>
      <c r="L2" s="84" t="s">
        <v>34</v>
      </c>
      <c r="M2" s="86"/>
      <c r="N2" s="400">
        <f>M4+M5+M8+M9+M12</f>
        <v>57831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  <c r="W2" s="3" t="s">
        <v>261</v>
      </c>
      <c r="X2" s="86"/>
      <c r="Y2" s="81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46110.0</v>
      </c>
      <c r="Q3" s="132" t="s">
        <v>131</v>
      </c>
      <c r="R3" s="132" t="s">
        <v>149</v>
      </c>
      <c r="S3" s="132" t="s">
        <v>136</v>
      </c>
      <c r="T3" s="132">
        <v>2475.0</v>
      </c>
      <c r="U3" s="109"/>
      <c r="V3" s="136"/>
      <c r="W3" s="510" t="s">
        <v>6</v>
      </c>
      <c r="X3" s="511" t="s">
        <v>262</v>
      </c>
      <c r="Y3" s="93"/>
    </row>
    <row r="4">
      <c r="B4" s="317">
        <v>46096.0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Thursday</v>
      </c>
      <c r="I4" s="319">
        <v>46107.0</v>
      </c>
      <c r="J4" s="170">
        <f t="array" ref="J4">sum(IF(($P$3:$P$100=I4), $T$3:$T$100, 0))</f>
        <v>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2060</v>
      </c>
      <c r="N4" s="322">
        <f>'March 26'!M4</f>
        <v>565</v>
      </c>
      <c r="P4" s="404">
        <v>46110.0</v>
      </c>
      <c r="Q4" s="132" t="s">
        <v>114</v>
      </c>
      <c r="R4" s="132" t="s">
        <v>115</v>
      </c>
      <c r="S4" s="132" t="s">
        <v>51</v>
      </c>
      <c r="T4" s="132">
        <v>13000.0</v>
      </c>
      <c r="U4" s="109"/>
      <c r="V4" s="136"/>
      <c r="W4" s="512">
        <v>46099.0</v>
      </c>
      <c r="X4" s="36" t="s">
        <v>263</v>
      </c>
      <c r="Y4" s="439"/>
    </row>
    <row r="5">
      <c r="B5" s="317">
        <v>46109.0</v>
      </c>
      <c r="C5" s="108"/>
      <c r="D5" s="142">
        <v>38000.0</v>
      </c>
      <c r="E5" s="108" t="s">
        <v>120</v>
      </c>
      <c r="F5" s="174" t="s">
        <v>136</v>
      </c>
      <c r="H5" s="318" t="str">
        <f t="shared" si="1"/>
        <v>Friday</v>
      </c>
      <c r="I5" s="319">
        <v>46108.0</v>
      </c>
      <c r="J5" s="170">
        <f t="array" ref="J5">sum(IF(($P$3:$P$100=I5), $T$3:$T$100, 0))</f>
        <v>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39417</v>
      </c>
      <c r="N5" s="326">
        <f>'March 26'!M5</f>
        <v>417</v>
      </c>
      <c r="P5" s="404">
        <v>46110.0</v>
      </c>
      <c r="Q5" s="132" t="s">
        <v>114</v>
      </c>
      <c r="R5" s="132" t="s">
        <v>126</v>
      </c>
      <c r="S5" s="132" t="s">
        <v>51</v>
      </c>
      <c r="T5" s="132">
        <v>1080.0</v>
      </c>
      <c r="U5" s="109"/>
      <c r="V5" s="136"/>
      <c r="W5" s="513">
        <v>46107.0</v>
      </c>
      <c r="X5" s="514" t="s">
        <v>264</v>
      </c>
      <c r="Y5" s="433"/>
    </row>
    <row r="6">
      <c r="B6" s="317">
        <v>46110.0</v>
      </c>
      <c r="C6" s="108"/>
      <c r="D6" s="142">
        <v>35000.0</v>
      </c>
      <c r="E6" s="108" t="s">
        <v>136</v>
      </c>
      <c r="F6" s="174" t="s">
        <v>51</v>
      </c>
      <c r="H6" s="318" t="str">
        <f t="shared" si="1"/>
        <v>Saturday</v>
      </c>
      <c r="I6" s="319">
        <v>46109.0</v>
      </c>
      <c r="J6" s="170">
        <f t="array" ref="J6">sum(IF(($P$3:$P$100=I6), $T$3:$T$100, 0))</f>
        <v>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50009</v>
      </c>
      <c r="N6" s="326">
        <f>'March 26'!M6</f>
        <v>9</v>
      </c>
      <c r="P6" s="404">
        <v>46110.0</v>
      </c>
      <c r="Q6" s="132" t="s">
        <v>114</v>
      </c>
      <c r="R6" s="132" t="s">
        <v>133</v>
      </c>
      <c r="S6" s="132" t="s">
        <v>51</v>
      </c>
      <c r="T6" s="132">
        <v>800.0</v>
      </c>
      <c r="U6" s="109"/>
      <c r="V6" s="136"/>
      <c r="W6" s="547">
        <v>46085.0</v>
      </c>
      <c r="X6" s="548" t="s">
        <v>312</v>
      </c>
      <c r="Y6" s="439"/>
    </row>
    <row r="7">
      <c r="B7" s="317">
        <v>46110.0</v>
      </c>
      <c r="C7" s="142"/>
      <c r="D7" s="142">
        <v>10000.0</v>
      </c>
      <c r="E7" s="108" t="s">
        <v>51</v>
      </c>
      <c r="F7" s="174" t="s">
        <v>139</v>
      </c>
      <c r="H7" s="318" t="str">
        <f t="shared" si="1"/>
        <v>Sunday</v>
      </c>
      <c r="I7" s="319">
        <v>46110.0</v>
      </c>
      <c r="J7" s="170">
        <f t="array" ref="J7">sum(IF(($P$3:$P$100=I7), $T$3:$T$100, 0))</f>
        <v>27475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>'March 26'!M7</f>
        <v>285</v>
      </c>
      <c r="P7" s="404">
        <v>46110.0</v>
      </c>
      <c r="Q7" s="132" t="s">
        <v>119</v>
      </c>
      <c r="R7" s="132" t="s">
        <v>141</v>
      </c>
      <c r="S7" s="132" t="s">
        <v>51</v>
      </c>
      <c r="T7" s="132">
        <f>10000+120</f>
        <v>10120</v>
      </c>
      <c r="U7" s="109"/>
      <c r="V7" s="136"/>
      <c r="W7" s="516"/>
      <c r="X7" s="517"/>
      <c r="Y7" s="433"/>
    </row>
    <row r="8">
      <c r="B8" s="317">
        <v>46108.0</v>
      </c>
      <c r="C8" s="108"/>
      <c r="D8" s="142">
        <v>1000.0</v>
      </c>
      <c r="E8" s="108" t="s">
        <v>143</v>
      </c>
      <c r="F8" s="174" t="s">
        <v>51</v>
      </c>
      <c r="H8" s="318" t="str">
        <f t="shared" si="1"/>
        <v>Monday</v>
      </c>
      <c r="I8" s="319">
        <v>46111.0</v>
      </c>
      <c r="J8" s="170">
        <f t="array" ref="J8">sum(IF(($P$3:$P$100=I8), $T$3:$T$100, 0))</f>
        <v>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468</v>
      </c>
      <c r="N8" s="326">
        <f>'March 26'!M8</f>
        <v>7</v>
      </c>
      <c r="P8" s="404">
        <v>46112.0</v>
      </c>
      <c r="Q8" s="132" t="s">
        <v>131</v>
      </c>
      <c r="R8" s="132" t="s">
        <v>148</v>
      </c>
      <c r="S8" s="132" t="s">
        <v>51</v>
      </c>
      <c r="T8" s="132">
        <v>30.0</v>
      </c>
      <c r="U8" s="109"/>
      <c r="V8" s="136"/>
      <c r="W8" s="515"/>
      <c r="X8" s="43"/>
      <c r="Y8" s="439"/>
    </row>
    <row r="9">
      <c r="B9" s="317">
        <v>46111.0</v>
      </c>
      <c r="C9" s="108"/>
      <c r="D9" s="108">
        <v>500.0</v>
      </c>
      <c r="E9" s="108" t="s">
        <v>136</v>
      </c>
      <c r="F9" s="174" t="s">
        <v>12</v>
      </c>
      <c r="H9" s="318" t="str">
        <f t="shared" si="1"/>
        <v>Tuesday</v>
      </c>
      <c r="I9" s="319">
        <v>46112.0</v>
      </c>
      <c r="J9" s="170">
        <f t="array" ref="J9">sum(IF(($P$3:$P$100=I9), $T$3:$T$100, 0))</f>
        <v>130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>'March 26'!M9</f>
        <v>2</v>
      </c>
      <c r="P9" s="404">
        <v>46112.0</v>
      </c>
      <c r="Q9" s="132" t="s">
        <v>123</v>
      </c>
      <c r="R9" s="132" t="s">
        <v>145</v>
      </c>
      <c r="S9" s="132" t="s">
        <v>51</v>
      </c>
      <c r="T9" s="132">
        <v>100.0</v>
      </c>
      <c r="U9" s="109" t="s">
        <v>341</v>
      </c>
      <c r="V9" s="136"/>
      <c r="W9" s="516"/>
      <c r="X9" s="517"/>
      <c r="Y9" s="433"/>
    </row>
    <row r="10">
      <c r="B10" s="317">
        <v>46111.0</v>
      </c>
      <c r="C10" s="142"/>
      <c r="D10" s="142">
        <v>102000.0</v>
      </c>
      <c r="E10" s="108" t="s">
        <v>143</v>
      </c>
      <c r="F10" s="174" t="s">
        <v>120</v>
      </c>
      <c r="H10" s="318" t="str">
        <f t="shared" si="1"/>
        <v>Wednesday</v>
      </c>
      <c r="I10" s="319">
        <v>46113.0</v>
      </c>
      <c r="J10" s="170">
        <f t="array" ref="J10">sum(IF(($P$3:$P$100=I10), $T$3:$T$100, 0))</f>
        <v>0</v>
      </c>
      <c r="L10" s="333" t="s">
        <v>137</v>
      </c>
      <c r="M10" s="374">
        <f>N10-10000</f>
        <v>10000</v>
      </c>
      <c r="N10" s="326">
        <f>'March 26'!M10</f>
        <v>20000</v>
      </c>
      <c r="P10" s="404">
        <v>46114.0</v>
      </c>
      <c r="Q10" s="132" t="s">
        <v>131</v>
      </c>
      <c r="R10" s="132" t="s">
        <v>131</v>
      </c>
      <c r="S10" s="132" t="s">
        <v>51</v>
      </c>
      <c r="T10" s="132">
        <v>120.0</v>
      </c>
      <c r="U10" s="109"/>
      <c r="V10" s="136"/>
      <c r="W10" s="515"/>
      <c r="X10" s="43"/>
      <c r="Y10" s="439"/>
    </row>
    <row r="11">
      <c r="B11" s="317">
        <v>46111.0</v>
      </c>
      <c r="C11" s="108"/>
      <c r="D11" s="142">
        <v>1000.0</v>
      </c>
      <c r="E11" s="108" t="s">
        <v>120</v>
      </c>
      <c r="F11" s="174" t="s">
        <v>136</v>
      </c>
      <c r="H11" s="318" t="str">
        <f t="shared" si="1"/>
        <v>Thursday</v>
      </c>
      <c r="I11" s="319">
        <v>46114.0</v>
      </c>
      <c r="J11" s="170">
        <f t="array" ref="J11">sum(IF(($P$3:$P$100=I11), $T$3:$T$100, 0))</f>
        <v>210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>'March 26'!M11</f>
        <v>5500</v>
      </c>
      <c r="P11" s="404">
        <v>46114.0</v>
      </c>
      <c r="Q11" s="132" t="s">
        <v>119</v>
      </c>
      <c r="R11" s="132" t="s">
        <v>142</v>
      </c>
      <c r="S11" s="132" t="s">
        <v>51</v>
      </c>
      <c r="T11" s="132">
        <v>90.0</v>
      </c>
      <c r="U11" s="109"/>
      <c r="V11" s="136"/>
      <c r="W11" s="516"/>
      <c r="X11" s="517"/>
      <c r="Y11" s="433"/>
    </row>
    <row r="12">
      <c r="B12" s="317">
        <v>46114.0</v>
      </c>
      <c r="C12" s="108"/>
      <c r="D12" s="142">
        <v>1000.0</v>
      </c>
      <c r="E12" s="108" t="s">
        <v>120</v>
      </c>
      <c r="F12" s="174" t="s">
        <v>51</v>
      </c>
      <c r="H12" s="318" t="str">
        <f t="shared" si="1"/>
        <v>Friday</v>
      </c>
      <c r="I12" s="319">
        <v>46115.0</v>
      </c>
      <c r="J12" s="170">
        <f t="array" ref="J12">sum(IF(($P$3:$P$100=I12), $T$3:$T$100, 0))</f>
        <v>0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15884</v>
      </c>
      <c r="N12" s="326">
        <f>'March 26'!M12</f>
        <v>119</v>
      </c>
      <c r="P12" s="404">
        <v>46116.0</v>
      </c>
      <c r="Q12" s="132" t="s">
        <v>131</v>
      </c>
      <c r="R12" s="132" t="s">
        <v>23</v>
      </c>
      <c r="S12" s="132" t="s">
        <v>51</v>
      </c>
      <c r="T12" s="132">
        <v>145.0</v>
      </c>
      <c r="U12" s="109"/>
      <c r="V12" s="136"/>
      <c r="W12" s="515"/>
      <c r="X12" s="43"/>
      <c r="Y12" s="439"/>
    </row>
    <row r="13">
      <c r="B13" s="317">
        <v>46125.0</v>
      </c>
      <c r="C13" s="108"/>
      <c r="D13" s="142">
        <v>1000.0</v>
      </c>
      <c r="E13" s="108" t="s">
        <v>136</v>
      </c>
      <c r="F13" s="174" t="s">
        <v>51</v>
      </c>
      <c r="H13" s="318" t="str">
        <f t="shared" si="1"/>
        <v>Saturday</v>
      </c>
      <c r="I13" s="319">
        <v>46116.0</v>
      </c>
      <c r="J13" s="170">
        <f t="array" ref="J13">sum(IF(($P$3:$P$100=I13), $T$3:$T$100, 0))</f>
        <v>145</v>
      </c>
      <c r="L13" s="338"/>
      <c r="M13" s="339"/>
      <c r="N13" s="480" t="str">
        <f>'March 26'!M13</f>
        <v/>
      </c>
      <c r="P13" s="404">
        <v>46117.0</v>
      </c>
      <c r="Q13" s="132" t="s">
        <v>119</v>
      </c>
      <c r="R13" s="132" t="s">
        <v>142</v>
      </c>
      <c r="S13" s="132" t="s">
        <v>51</v>
      </c>
      <c r="T13" s="132">
        <v>100.0</v>
      </c>
      <c r="U13" s="109"/>
      <c r="V13" s="136"/>
      <c r="W13" s="516"/>
      <c r="X13" s="517"/>
      <c r="Y13" s="433"/>
    </row>
    <row r="14">
      <c r="B14" s="317">
        <v>46130.0</v>
      </c>
      <c r="C14" s="108"/>
      <c r="D14" s="142">
        <v>50000.0</v>
      </c>
      <c r="E14" s="108" t="s">
        <v>120</v>
      </c>
      <c r="F14" s="174" t="s">
        <v>124</v>
      </c>
      <c r="H14" s="318" t="str">
        <f t="shared" si="1"/>
        <v>Sunday</v>
      </c>
      <c r="I14" s="319">
        <v>46117.0</v>
      </c>
      <c r="J14" s="170">
        <f t="array" ref="J14">sum(IF(($P$3:$P$100=I14), $T$3:$T$100, 0))</f>
        <v>308</v>
      </c>
      <c r="P14" s="404">
        <v>46118.0</v>
      </c>
      <c r="Q14" s="132" t="s">
        <v>131</v>
      </c>
      <c r="R14" s="132" t="s">
        <v>23</v>
      </c>
      <c r="S14" s="132" t="s">
        <v>51</v>
      </c>
      <c r="T14" s="132">
        <v>170.0</v>
      </c>
      <c r="U14" s="109"/>
      <c r="V14" s="136"/>
      <c r="W14" s="515"/>
      <c r="X14" s="43"/>
      <c r="Y14" s="439"/>
    </row>
    <row r="15">
      <c r="B15" s="317">
        <v>46130.0</v>
      </c>
      <c r="C15" s="108"/>
      <c r="D15" s="142">
        <v>20000.0</v>
      </c>
      <c r="E15" s="108" t="s">
        <v>120</v>
      </c>
      <c r="F15" s="174" t="s">
        <v>136</v>
      </c>
      <c r="H15" s="318" t="str">
        <f t="shared" si="1"/>
        <v>Monday</v>
      </c>
      <c r="I15" s="319">
        <v>46118.0</v>
      </c>
      <c r="J15" s="170">
        <f t="array" ref="J15">sum(IF(($P$3:$P$100=I15), $T$3:$T$100, 0))</f>
        <v>950</v>
      </c>
      <c r="L15" s="137" t="s">
        <v>72</v>
      </c>
      <c r="M15" s="86"/>
      <c r="N15" s="138">
        <f>sum(M17:M22)</f>
        <v>5500</v>
      </c>
      <c r="P15" s="404">
        <v>46118.0</v>
      </c>
      <c r="Q15" s="132" t="s">
        <v>131</v>
      </c>
      <c r="R15" s="132" t="s">
        <v>131</v>
      </c>
      <c r="S15" s="132" t="s">
        <v>51</v>
      </c>
      <c r="T15" s="132">
        <v>630.0</v>
      </c>
      <c r="U15" s="109" t="s">
        <v>342</v>
      </c>
      <c r="V15" s="136"/>
      <c r="W15" s="516"/>
      <c r="X15" s="517"/>
      <c r="Y15" s="433"/>
    </row>
    <row r="16">
      <c r="B16" s="317">
        <v>46131.0</v>
      </c>
      <c r="C16" s="142"/>
      <c r="D16" s="142">
        <v>1000.0</v>
      </c>
      <c r="E16" s="108" t="s">
        <v>136</v>
      </c>
      <c r="F16" s="174" t="s">
        <v>51</v>
      </c>
      <c r="H16" s="318" t="str">
        <f t="shared" si="1"/>
        <v>Tuesday</v>
      </c>
      <c r="I16" s="319">
        <v>46119.0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404">
        <v>46118.0</v>
      </c>
      <c r="Q16" s="132" t="s">
        <v>131</v>
      </c>
      <c r="R16" s="132" t="s">
        <v>148</v>
      </c>
      <c r="S16" s="132" t="s">
        <v>51</v>
      </c>
      <c r="T16" s="132">
        <v>120.0</v>
      </c>
      <c r="U16" s="109"/>
      <c r="V16" s="136"/>
      <c r="W16" s="515"/>
      <c r="X16" s="43"/>
      <c r="Y16" s="439"/>
    </row>
    <row r="17">
      <c r="B17" s="317">
        <v>46134.0</v>
      </c>
      <c r="C17" s="108"/>
      <c r="D17" s="108">
        <v>1000.0</v>
      </c>
      <c r="E17" s="108" t="s">
        <v>136</v>
      </c>
      <c r="F17" s="174" t="s">
        <v>12</v>
      </c>
      <c r="H17" s="318" t="str">
        <f t="shared" si="1"/>
        <v>Wednesday</v>
      </c>
      <c r="I17" s="319">
        <v>46120.0</v>
      </c>
      <c r="J17" s="170">
        <f t="array" ref="J17">sum(IF(($P$3:$P$100=I17), $T$3:$T$100, 0))</f>
        <v>0</v>
      </c>
      <c r="L17" s="143">
        <v>45774.0</v>
      </c>
      <c r="M17" s="132">
        <v>2500.0</v>
      </c>
      <c r="N17" s="103" t="s">
        <v>185</v>
      </c>
      <c r="P17" s="404">
        <v>46121.0</v>
      </c>
      <c r="Q17" s="132" t="s">
        <v>131</v>
      </c>
      <c r="R17" s="132" t="s">
        <v>131</v>
      </c>
      <c r="S17" s="132" t="s">
        <v>51</v>
      </c>
      <c r="T17" s="132">
        <v>900.0</v>
      </c>
      <c r="U17" s="109" t="s">
        <v>343</v>
      </c>
      <c r="V17" s="136"/>
      <c r="W17" s="516"/>
      <c r="X17" s="517"/>
      <c r="Y17" s="433"/>
    </row>
    <row r="18">
      <c r="B18" s="317">
        <v>46135.0</v>
      </c>
      <c r="C18" s="108"/>
      <c r="D18" s="108">
        <v>2000.0</v>
      </c>
      <c r="E18" s="108" t="s">
        <v>136</v>
      </c>
      <c r="F18" s="174" t="s">
        <v>51</v>
      </c>
      <c r="H18" s="318" t="str">
        <f t="shared" si="1"/>
        <v>Thursday</v>
      </c>
      <c r="I18" s="319">
        <v>46121.0</v>
      </c>
      <c r="J18" s="170">
        <f t="array" ref="J18">sum(IF(($P$3:$P$100=I18), $T$3:$T$100, 0))</f>
        <v>950</v>
      </c>
      <c r="L18" s="143"/>
      <c r="M18" s="132">
        <v>3000.0</v>
      </c>
      <c r="N18" s="103" t="s">
        <v>187</v>
      </c>
      <c r="P18" s="404">
        <v>46121.0</v>
      </c>
      <c r="Q18" s="132" t="s">
        <v>131</v>
      </c>
      <c r="R18" s="132" t="s">
        <v>148</v>
      </c>
      <c r="S18" s="132" t="s">
        <v>51</v>
      </c>
      <c r="T18" s="132">
        <v>50.0</v>
      </c>
      <c r="U18" s="109"/>
      <c r="V18" s="136"/>
      <c r="W18" s="515"/>
      <c r="X18" s="43"/>
      <c r="Y18" s="439"/>
    </row>
    <row r="19">
      <c r="B19" s="317"/>
      <c r="C19" s="112"/>
      <c r="D19" s="108"/>
      <c r="E19" s="108"/>
      <c r="F19" s="174"/>
      <c r="H19" s="318" t="str">
        <f t="shared" si="1"/>
        <v>Friday</v>
      </c>
      <c r="I19" s="319">
        <v>46122.0</v>
      </c>
      <c r="J19" s="170">
        <f t="array" ref="J19">sum(IF(($P$3:$P$100=I19), $T$3:$T$100, 0))</f>
        <v>65</v>
      </c>
      <c r="L19" s="148"/>
      <c r="M19" s="132"/>
      <c r="N19" s="103"/>
      <c r="P19" s="404">
        <v>46122.0</v>
      </c>
      <c r="Q19" s="132" t="s">
        <v>131</v>
      </c>
      <c r="R19" s="132" t="s">
        <v>131</v>
      </c>
      <c r="S19" s="132" t="s">
        <v>51</v>
      </c>
      <c r="T19" s="132">
        <v>65.0</v>
      </c>
      <c r="U19" s="109"/>
      <c r="V19" s="136"/>
      <c r="W19" s="516"/>
      <c r="X19" s="517"/>
      <c r="Y19" s="433"/>
    </row>
    <row r="20">
      <c r="B20" s="317"/>
      <c r="C20" s="142"/>
      <c r="D20" s="142"/>
      <c r="E20" s="108"/>
      <c r="F20" s="174"/>
      <c r="H20" s="318" t="str">
        <f t="shared" si="1"/>
        <v>Saturday</v>
      </c>
      <c r="I20" s="319">
        <v>46123.0</v>
      </c>
      <c r="J20" s="170">
        <f t="array" ref="J20">sum(IF(($P$3:$P$100=I20), $T$3:$T$100, 0))</f>
        <v>0</v>
      </c>
      <c r="L20" s="148"/>
      <c r="M20" s="132"/>
      <c r="N20" s="185"/>
      <c r="P20" s="404">
        <v>46125.0</v>
      </c>
      <c r="Q20" s="132" t="s">
        <v>131</v>
      </c>
      <c r="R20" s="132" t="s">
        <v>148</v>
      </c>
      <c r="S20" s="132" t="s">
        <v>51</v>
      </c>
      <c r="T20" s="132">
        <v>45.0</v>
      </c>
      <c r="U20" s="109"/>
      <c r="V20" s="136"/>
      <c r="W20" s="515"/>
      <c r="X20" s="43"/>
      <c r="Y20" s="439"/>
    </row>
    <row r="21">
      <c r="B21" s="317"/>
      <c r="C21" s="108"/>
      <c r="D21" s="108"/>
      <c r="E21" s="108"/>
      <c r="F21" s="174"/>
      <c r="H21" s="318" t="str">
        <f t="shared" si="1"/>
        <v>Sunday</v>
      </c>
      <c r="I21" s="319">
        <v>46124.0</v>
      </c>
      <c r="J21" s="170">
        <f t="array" ref="J21">sum(IF(($P$3:$P$100=I21), $T$3:$T$100, 0))</f>
        <v>0</v>
      </c>
      <c r="L21" s="112"/>
      <c r="M21" s="102"/>
      <c r="N21" s="48"/>
      <c r="P21" s="404">
        <v>46125.0</v>
      </c>
      <c r="Q21" s="132" t="s">
        <v>123</v>
      </c>
      <c r="R21" s="132" t="s">
        <v>144</v>
      </c>
      <c r="S21" s="132" t="s">
        <v>51</v>
      </c>
      <c r="T21" s="132">
        <v>205.0</v>
      </c>
      <c r="U21" s="109"/>
      <c r="V21" s="136"/>
      <c r="W21" s="516"/>
      <c r="X21" s="517"/>
      <c r="Y21" s="433"/>
    </row>
    <row r="22">
      <c r="B22" s="317"/>
      <c r="C22" s="112"/>
      <c r="D22" s="108"/>
      <c r="E22" s="108"/>
      <c r="F22" s="174"/>
      <c r="H22" s="318" t="str">
        <f t="shared" si="1"/>
        <v>Monday</v>
      </c>
      <c r="I22" s="319">
        <v>46125.0</v>
      </c>
      <c r="J22" s="170">
        <f t="array" ref="J22">sum(IF(($P$3:$P$100=I22), $T$3:$T$100, 0))</f>
        <v>330</v>
      </c>
      <c r="L22" s="127"/>
      <c r="M22" s="133"/>
      <c r="N22" s="68"/>
      <c r="P22" s="404">
        <v>46125.0</v>
      </c>
      <c r="Q22" s="132" t="s">
        <v>119</v>
      </c>
      <c r="R22" s="132" t="s">
        <v>142</v>
      </c>
      <c r="S22" s="132" t="s">
        <v>51</v>
      </c>
      <c r="T22" s="132">
        <v>80.0</v>
      </c>
      <c r="U22" s="109"/>
      <c r="V22" s="136"/>
      <c r="W22" s="515"/>
      <c r="X22" s="43"/>
      <c r="Y22" s="439"/>
    </row>
    <row r="23">
      <c r="B23" s="317"/>
      <c r="C23" s="108"/>
      <c r="D23" s="108"/>
      <c r="E23" s="108"/>
      <c r="F23" s="174"/>
      <c r="H23" s="318" t="str">
        <f t="shared" si="1"/>
        <v>Tuesday</v>
      </c>
      <c r="I23" s="319">
        <v>46126.0</v>
      </c>
      <c r="J23" s="170">
        <f t="array" ref="J23">sum(IF(($P$3:$P$100=I23), $T$3:$T$100, 0))</f>
        <v>2815</v>
      </c>
      <c r="P23" s="404">
        <v>46126.0</v>
      </c>
      <c r="Q23" s="132" t="s">
        <v>134</v>
      </c>
      <c r="R23" s="132" t="s">
        <v>116</v>
      </c>
      <c r="S23" s="132" t="s">
        <v>120</v>
      </c>
      <c r="T23" s="132">
        <v>2500.0</v>
      </c>
      <c r="U23" s="109"/>
      <c r="V23" s="136"/>
      <c r="W23" s="522"/>
      <c r="X23" s="523"/>
      <c r="Y23" s="444"/>
    </row>
    <row r="24">
      <c r="B24" s="317"/>
      <c r="C24" s="108"/>
      <c r="D24" s="108"/>
      <c r="E24" s="108"/>
      <c r="F24" s="174"/>
      <c r="H24" s="318" t="str">
        <f t="shared" si="1"/>
        <v>Wednesday</v>
      </c>
      <c r="I24" s="319">
        <v>46127.0</v>
      </c>
      <c r="J24" s="170">
        <f t="array" ref="J24">sum(IF(($P$3:$P$100=I24), $T$3:$T$100, 0))</f>
        <v>0</v>
      </c>
      <c r="L24" s="137" t="s">
        <v>84</v>
      </c>
      <c r="M24" s="86"/>
      <c r="N24" s="524">
        <f>sum(N26:N31)</f>
        <v>10000</v>
      </c>
      <c r="P24" s="404">
        <v>46126.0</v>
      </c>
      <c r="Q24" s="132" t="s">
        <v>123</v>
      </c>
      <c r="R24" s="132" t="s">
        <v>145</v>
      </c>
      <c r="S24" s="132" t="s">
        <v>51</v>
      </c>
      <c r="T24" s="132">
        <v>315.0</v>
      </c>
      <c r="U24" s="109"/>
      <c r="V24" s="136"/>
    </row>
    <row r="25">
      <c r="B25" s="317"/>
      <c r="C25" s="112"/>
      <c r="D25" s="112"/>
      <c r="E25" s="108"/>
      <c r="F25" s="174"/>
      <c r="H25" s="318" t="str">
        <f t="shared" si="1"/>
        <v>Thursday</v>
      </c>
      <c r="I25" s="319">
        <v>46128.0</v>
      </c>
      <c r="J25" s="170">
        <f t="array" ref="J25">sum(IF(($P$3:$P$100=I25), $T$3:$T$100, 0))</f>
        <v>0</v>
      </c>
      <c r="L25" s="139" t="s">
        <v>6</v>
      </c>
      <c r="M25" s="140" t="s">
        <v>85</v>
      </c>
      <c r="N25" s="141" t="s">
        <v>35</v>
      </c>
      <c r="P25" s="404">
        <v>46129.0</v>
      </c>
      <c r="Q25" s="132" t="s">
        <v>131</v>
      </c>
      <c r="R25" s="132" t="s">
        <v>23</v>
      </c>
      <c r="S25" s="132" t="s">
        <v>51</v>
      </c>
      <c r="T25" s="132">
        <f>130+10</f>
        <v>140</v>
      </c>
      <c r="U25" s="109"/>
      <c r="V25" s="136"/>
    </row>
    <row r="26">
      <c r="B26" s="317"/>
      <c r="C26" s="112"/>
      <c r="D26" s="112"/>
      <c r="E26" s="108"/>
      <c r="F26" s="174"/>
      <c r="H26" s="318" t="str">
        <f t="shared" si="1"/>
        <v>Friday</v>
      </c>
      <c r="I26" s="319">
        <v>46129.0</v>
      </c>
      <c r="J26" s="170">
        <f t="array" ref="J26">sum(IF(($P$3:$P$100=I26), $T$3:$T$100, 0))</f>
        <v>205</v>
      </c>
      <c r="L26" s="554">
        <v>46075.0</v>
      </c>
      <c r="M26" s="555" t="s">
        <v>163</v>
      </c>
      <c r="N26" s="556">
        <v>10000.0</v>
      </c>
      <c r="P26" s="404">
        <v>46129.0</v>
      </c>
      <c r="Q26" s="132" t="s">
        <v>131</v>
      </c>
      <c r="R26" s="132" t="s">
        <v>148</v>
      </c>
      <c r="S26" s="132" t="s">
        <v>51</v>
      </c>
      <c r="T26" s="132">
        <v>65.0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Saturday</v>
      </c>
      <c r="I27" s="319">
        <v>46130.0</v>
      </c>
      <c r="J27" s="170">
        <f t="array" ref="J27">sum(IF(($P$3:$P$100=I27), $T$3:$T$100, 0))</f>
        <v>125</v>
      </c>
      <c r="L27" s="152"/>
      <c r="M27" s="47"/>
      <c r="N27" s="48"/>
      <c r="P27" s="404">
        <v>46117.0</v>
      </c>
      <c r="Q27" s="132" t="s">
        <v>127</v>
      </c>
      <c r="R27" s="132" t="s">
        <v>147</v>
      </c>
      <c r="S27" s="132" t="s">
        <v>12</v>
      </c>
      <c r="T27" s="132">
        <v>208.0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Sunday</v>
      </c>
      <c r="I28" s="319">
        <v>46131.0</v>
      </c>
      <c r="J28" s="170">
        <f t="array" ref="J28">sum(IF(($P$3:$P$100=I28), $T$3:$T$100, 0))</f>
        <v>430</v>
      </c>
      <c r="L28" s="152"/>
      <c r="M28" s="47"/>
      <c r="N28" s="48"/>
      <c r="P28" s="404">
        <v>46118.0</v>
      </c>
      <c r="Q28" s="132" t="s">
        <v>127</v>
      </c>
      <c r="R28" s="132" t="s">
        <v>146</v>
      </c>
      <c r="S28" s="132" t="s">
        <v>12</v>
      </c>
      <c r="T28" s="132">
        <v>30.0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Monday</v>
      </c>
      <c r="I29" s="319">
        <v>46132.0</v>
      </c>
      <c r="J29" s="170">
        <f t="array" ref="J29">sum(IF(($P$3:$P$100=I29), $T$3:$T$100, 0))</f>
        <v>100</v>
      </c>
      <c r="L29" s="152"/>
      <c r="M29" s="47"/>
      <c r="N29" s="48"/>
      <c r="P29" s="404">
        <v>46130.0</v>
      </c>
      <c r="Q29" s="132" t="s">
        <v>119</v>
      </c>
      <c r="R29" s="132" t="s">
        <v>138</v>
      </c>
      <c r="S29" s="132" t="s">
        <v>51</v>
      </c>
      <c r="T29" s="132">
        <v>125.0</v>
      </c>
      <c r="U29" s="109" t="s">
        <v>276</v>
      </c>
      <c r="V29" s="136"/>
    </row>
    <row r="30">
      <c r="B30" s="317"/>
      <c r="C30" s="112"/>
      <c r="D30" s="112"/>
      <c r="E30" s="108"/>
      <c r="F30" s="174"/>
      <c r="H30" s="318" t="str">
        <f t="shared" si="1"/>
        <v>Tuesday</v>
      </c>
      <c r="I30" s="319">
        <v>46133.0</v>
      </c>
      <c r="J30" s="170">
        <f t="array" ref="J30">sum(IF(($P$3:$P$100=I30), $T$3:$T$100, 0))</f>
        <v>0</v>
      </c>
      <c r="L30" s="152"/>
      <c r="M30" s="47"/>
      <c r="N30" s="48"/>
      <c r="P30" s="404">
        <v>46131.0</v>
      </c>
      <c r="Q30" s="132" t="s">
        <v>119</v>
      </c>
      <c r="R30" s="132" t="s">
        <v>138</v>
      </c>
      <c r="S30" s="132" t="s">
        <v>51</v>
      </c>
      <c r="T30" s="132">
        <v>430.0</v>
      </c>
      <c r="U30" s="109" t="s">
        <v>344</v>
      </c>
      <c r="V30" s="136"/>
    </row>
    <row r="31">
      <c r="B31" s="317"/>
      <c r="C31" s="108"/>
      <c r="D31" s="108"/>
      <c r="E31" s="108"/>
      <c r="F31" s="174"/>
      <c r="H31" s="318" t="str">
        <f t="shared" si="1"/>
        <v>Wednesday</v>
      </c>
      <c r="I31" s="319">
        <v>46134.0</v>
      </c>
      <c r="J31" s="170">
        <f t="array" ref="J31">sum(IF(($P$3:$P$100=I31), $T$3:$T$100, 0))</f>
        <v>1241</v>
      </c>
      <c r="L31" s="153"/>
      <c r="M31" s="154"/>
      <c r="N31" s="68"/>
      <c r="P31" s="404">
        <v>46132.0</v>
      </c>
      <c r="Q31" s="132" t="s">
        <v>131</v>
      </c>
      <c r="R31" s="132" t="s">
        <v>131</v>
      </c>
      <c r="S31" s="132" t="s">
        <v>51</v>
      </c>
      <c r="T31" s="132">
        <v>100.0</v>
      </c>
      <c r="U31" s="109" t="s">
        <v>345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Thursday</v>
      </c>
      <c r="I32" s="319">
        <v>46135.0</v>
      </c>
      <c r="J32" s="170">
        <f t="array" ref="J32">sum(IF(($P$3:$P$100=I32), $T$3:$T$100, 0))</f>
        <v>90</v>
      </c>
      <c r="P32" s="404">
        <v>46134.0</v>
      </c>
      <c r="Q32" s="132" t="s">
        <v>123</v>
      </c>
      <c r="R32" s="132" t="s">
        <v>123</v>
      </c>
      <c r="S32" s="132" t="s">
        <v>51</v>
      </c>
      <c r="T32" s="132">
        <v>210.0</v>
      </c>
      <c r="U32" s="109" t="s">
        <v>346</v>
      </c>
      <c r="V32" s="136"/>
    </row>
    <row r="33">
      <c r="B33" s="317"/>
      <c r="C33" s="108"/>
      <c r="D33" s="108"/>
      <c r="E33" s="108"/>
      <c r="F33" s="174"/>
      <c r="H33" s="318" t="str">
        <f t="shared" si="1"/>
        <v>Friday</v>
      </c>
      <c r="I33" s="319">
        <v>46136.0</v>
      </c>
      <c r="J33" s="170">
        <f t="array" ref="J33">sum(IF(($P$3:$P$100=I33), $T$3:$T$100, 0))</f>
        <v>0</v>
      </c>
      <c r="L33" s="137" t="s">
        <v>134</v>
      </c>
      <c r="M33" s="86"/>
      <c r="N33" s="138">
        <f>sum(M35:M39)</f>
        <v>40000</v>
      </c>
      <c r="P33" s="404">
        <v>46134.0</v>
      </c>
      <c r="Q33" s="132" t="s">
        <v>119</v>
      </c>
      <c r="R33" s="132" t="s">
        <v>141</v>
      </c>
      <c r="S33" s="132" t="s">
        <v>51</v>
      </c>
      <c r="T33" s="132">
        <v>50.0</v>
      </c>
      <c r="U33" s="109" t="s">
        <v>347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Saturday</v>
      </c>
      <c r="I34" s="319">
        <v>46137.0</v>
      </c>
      <c r="J34" s="170">
        <f t="array" ref="J34">sum(IF(($P$3:$P$100=I34), $T$3:$T$100, 0))</f>
        <v>210</v>
      </c>
      <c r="L34" s="139" t="s">
        <v>39</v>
      </c>
      <c r="M34" s="140" t="s">
        <v>243</v>
      </c>
      <c r="N34" s="141" t="s">
        <v>244</v>
      </c>
      <c r="P34" s="404">
        <v>46134.0</v>
      </c>
      <c r="Q34" s="132" t="s">
        <v>131</v>
      </c>
      <c r="R34" s="132" t="s">
        <v>148</v>
      </c>
      <c r="S34" s="132" t="s">
        <v>51</v>
      </c>
      <c r="T34" s="132">
        <f>4*30</f>
        <v>120</v>
      </c>
      <c r="U34" s="109"/>
      <c r="V34" s="136"/>
    </row>
    <row r="35">
      <c r="B35" s="317"/>
      <c r="C35" s="112"/>
      <c r="D35" s="112"/>
      <c r="E35" s="108"/>
      <c r="F35" s="174"/>
      <c r="H35" s="318" t="str">
        <f t="shared" si="1"/>
        <v>Sunday</v>
      </c>
      <c r="I35" s="319">
        <v>46138.0</v>
      </c>
      <c r="J35" s="170">
        <f t="array" ref="J35">sum(IF(($P$3:$P$100=I35), $T$3:$T$100, 0))</f>
        <v>0</v>
      </c>
      <c r="L35" s="293" t="str">
        <f t="array" ref="L35:L39">INDIRECT("SavingsAcc")</f>
        <v>EximBank_2.5</v>
      </c>
      <c r="M35" s="316">
        <f t="array" ref="M35">N35+sum(IF(($R$3:$R$100=L35), $T$3:$T$100, 0))</f>
        <v>40000</v>
      </c>
      <c r="N35" s="341">
        <f>'March 26'!M35</f>
        <v>37500</v>
      </c>
      <c r="P35" s="404">
        <v>46134.0</v>
      </c>
      <c r="Q35" s="132" t="s">
        <v>26</v>
      </c>
      <c r="R35" s="132" t="s">
        <v>26</v>
      </c>
      <c r="S35" s="132" t="s">
        <v>51</v>
      </c>
      <c r="T35" s="132">
        <v>10.0</v>
      </c>
      <c r="U35" s="109"/>
      <c r="V35" s="136"/>
    </row>
    <row r="36">
      <c r="B36" s="317"/>
      <c r="C36" s="112"/>
      <c r="D36" s="112"/>
      <c r="E36" s="108"/>
      <c r="F36" s="174"/>
      <c r="H36" s="342"/>
      <c r="I36" s="155"/>
      <c r="J36" s="170">
        <f t="array" ref="J36">sum(IF(($P$3:$P$100=I36), $T$3:$T$100, 0))</f>
        <v>0</v>
      </c>
      <c r="L36" s="343" t="s">
        <v>121</v>
      </c>
      <c r="M36" s="316">
        <f t="array" ref="M36">N36+sum(IF(($R$3:$R$100=L36), $T$3:$T$100, 0))</f>
        <v>0</v>
      </c>
      <c r="N36" s="341">
        <v>0.0</v>
      </c>
      <c r="P36" s="404">
        <v>46134.0</v>
      </c>
      <c r="Q36" s="132" t="s">
        <v>114</v>
      </c>
      <c r="R36" s="132" t="s">
        <v>122</v>
      </c>
      <c r="S36" s="132" t="s">
        <v>12</v>
      </c>
      <c r="T36" s="132">
        <v>386.0</v>
      </c>
      <c r="U36" s="109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344" t="s">
        <v>125</v>
      </c>
      <c r="M37" s="316"/>
      <c r="N37" s="341"/>
      <c r="P37" s="404">
        <v>46134.0</v>
      </c>
      <c r="Q37" s="132" t="s">
        <v>127</v>
      </c>
      <c r="R37" s="132" t="s">
        <v>147</v>
      </c>
      <c r="S37" s="132" t="s">
        <v>12</v>
      </c>
      <c r="T37" s="132">
        <v>205.0</v>
      </c>
      <c r="U37" s="109" t="s">
        <v>163</v>
      </c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344" t="s">
        <v>129</v>
      </c>
      <c r="M38" s="316"/>
      <c r="N38" s="345"/>
      <c r="P38" s="404">
        <v>46137.0</v>
      </c>
      <c r="Q38" s="132" t="s">
        <v>127</v>
      </c>
      <c r="R38" s="132" t="s">
        <v>147</v>
      </c>
      <c r="S38" s="132" t="s">
        <v>12</v>
      </c>
      <c r="T38" s="132">
        <v>180.0</v>
      </c>
      <c r="U38" s="481" t="s">
        <v>178</v>
      </c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287" t="s">
        <v>132</v>
      </c>
      <c r="M39" s="289"/>
      <c r="N39" s="128"/>
      <c r="P39" s="404">
        <v>46137.0</v>
      </c>
      <c r="Q39" s="132" t="s">
        <v>127</v>
      </c>
      <c r="R39" s="132" t="s">
        <v>146</v>
      </c>
      <c r="S39" s="132" t="s">
        <v>12</v>
      </c>
      <c r="T39" s="132">
        <v>30.0</v>
      </c>
      <c r="U39" s="109"/>
      <c r="V39" s="136"/>
    </row>
    <row r="40">
      <c r="P40" s="404">
        <v>46135.0</v>
      </c>
      <c r="Q40" s="132" t="s">
        <v>131</v>
      </c>
      <c r="R40" s="132" t="s">
        <v>148</v>
      </c>
      <c r="S40" s="132" t="s">
        <v>51</v>
      </c>
      <c r="T40" s="132">
        <f>6*15</f>
        <v>90</v>
      </c>
      <c r="U40" s="481"/>
      <c r="V40" s="136"/>
    </row>
    <row r="41">
      <c r="P41" s="404">
        <v>46134.0</v>
      </c>
      <c r="Q41" s="132" t="s">
        <v>123</v>
      </c>
      <c r="R41" s="132" t="s">
        <v>144</v>
      </c>
      <c r="S41" s="132" t="s">
        <v>136</v>
      </c>
      <c r="T41" s="132">
        <v>260.0</v>
      </c>
      <c r="U41" s="113"/>
      <c r="V41" s="136"/>
    </row>
    <row r="42">
      <c r="B42" s="409" t="s">
        <v>173</v>
      </c>
      <c r="C42" s="410"/>
      <c r="D42" s="410"/>
      <c r="E42" s="410"/>
      <c r="F42" s="410"/>
      <c r="G42" s="410"/>
      <c r="H42" s="411"/>
      <c r="I42" s="527"/>
      <c r="J42" s="409"/>
      <c r="K42" s="411"/>
      <c r="L42" s="412"/>
      <c r="M42" s="557" t="s">
        <v>348</v>
      </c>
      <c r="P42" s="404"/>
      <c r="Q42" s="132"/>
      <c r="R42" s="132"/>
      <c r="S42" s="132"/>
      <c r="T42" s="132"/>
      <c r="U42" s="113"/>
      <c r="V42" s="136"/>
    </row>
    <row r="43">
      <c r="B43" s="413"/>
      <c r="C43" s="414"/>
      <c r="D43" s="414"/>
      <c r="E43" s="414"/>
      <c r="F43" s="414"/>
      <c r="G43" s="414"/>
      <c r="H43" s="415"/>
      <c r="I43" s="51"/>
      <c r="J43" s="413"/>
      <c r="K43" s="415"/>
      <c r="L43" s="51"/>
      <c r="M43" s="51"/>
      <c r="P43" s="404"/>
      <c r="Q43" s="132"/>
      <c r="R43" s="132"/>
      <c r="S43" s="132"/>
      <c r="T43" s="132"/>
      <c r="U43" s="109"/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483" t="s">
        <v>43</v>
      </c>
      <c r="J44" s="485" t="s">
        <v>4</v>
      </c>
      <c r="K44" s="418"/>
      <c r="L44" s="486" t="s">
        <v>206</v>
      </c>
      <c r="M44" s="486" t="s">
        <v>349</v>
      </c>
      <c r="P44" s="404"/>
      <c r="Q44" s="132"/>
      <c r="R44" s="132"/>
      <c r="S44" s="132"/>
      <c r="T44" s="132"/>
      <c r="U44" s="109"/>
      <c r="V44" s="136"/>
    </row>
    <row r="45">
      <c r="B45" s="423" t="s">
        <v>114</v>
      </c>
      <c r="C45" s="424"/>
      <c r="D45" s="425"/>
      <c r="E45" s="426">
        <f>Sum(I45:I50)</f>
        <v>15230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15266</v>
      </c>
      <c r="M45" s="558" t="str">
        <f>IF(DATE(2026, 4, 10) &gt; TODAY(), DATE(2026, 4, 10) - TODAY(), "Exceed")</f>
        <v>Exceed</v>
      </c>
      <c r="P45" s="404"/>
      <c r="Q45" s="132"/>
      <c r="R45" s="132"/>
      <c r="S45" s="132"/>
      <c r="T45" s="132"/>
      <c r="U45" s="109"/>
      <c r="V45" s="136"/>
    </row>
    <row r="46">
      <c r="B46" s="432"/>
      <c r="D46" s="433"/>
      <c r="E46" s="434"/>
      <c r="F46" s="435" t="s">
        <v>118</v>
      </c>
      <c r="H46" s="433"/>
      <c r="I46" s="436">
        <v>0.0</v>
      </c>
      <c r="J46" s="437">
        <f t="array" ref="J46">sum(IF(($R$3:$R$100=F46), $T$3:$T$100, 0))</f>
        <v>0</v>
      </c>
      <c r="K46" s="418"/>
      <c r="L46" s="434"/>
      <c r="M46" s="559" t="str">
        <f>IF(DATE(2026, 4, 15) &gt; TODAY(), DATE(2026, 4, 15) - TODAY(), "Exceed")</f>
        <v>Exceed</v>
      </c>
      <c r="P46" s="404"/>
      <c r="Q46" s="132"/>
      <c r="R46" s="132"/>
      <c r="S46" s="132"/>
      <c r="T46" s="132"/>
      <c r="U46" s="113"/>
      <c r="V46" s="136"/>
    </row>
    <row r="47">
      <c r="B47" s="438"/>
      <c r="D47" s="439"/>
      <c r="E47" s="37"/>
      <c r="F47" s="440" t="s">
        <v>122</v>
      </c>
      <c r="H47" s="439"/>
      <c r="I47" s="441">
        <v>350.0</v>
      </c>
      <c r="J47" s="429">
        <f t="array" ref="J47">sum(IF(($R$3:$R$100=F47), $T$3:$T$100, 0))</f>
        <v>386</v>
      </c>
      <c r="K47" s="430"/>
      <c r="L47" s="37"/>
      <c r="M47" s="560" t="str">
        <f>IF(DATE(2026, 4, 24) &gt; TODAY(), DATE(2026, 4, 24) - TODAY(), "Exceed")</f>
        <v>Exceed</v>
      </c>
      <c r="P47" s="404"/>
      <c r="Q47" s="132"/>
      <c r="R47" s="132"/>
      <c r="S47" s="132"/>
      <c r="T47" s="132"/>
      <c r="U47" s="109"/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M48" s="559"/>
      <c r="P48" s="404"/>
      <c r="Q48" s="132"/>
      <c r="R48" s="132"/>
      <c r="S48" s="132"/>
      <c r="T48" s="132"/>
      <c r="U48" s="109"/>
      <c r="V48" s="136"/>
    </row>
    <row r="49">
      <c r="B49" s="438"/>
      <c r="D49" s="439"/>
      <c r="E49" s="37"/>
      <c r="F49" s="440" t="s">
        <v>130</v>
      </c>
      <c r="H49" s="439"/>
      <c r="I49" s="441">
        <v>0.0</v>
      </c>
      <c r="J49" s="429">
        <f t="array" ref="J49">sum(IF(($R$3:$R$100=F49), $T$3:$T$100, 0))</f>
        <v>0</v>
      </c>
      <c r="K49" s="430"/>
      <c r="L49" s="37"/>
      <c r="M49" s="560" t="str">
        <f>IF(DATE(2026, 3, 27) &gt; TODAY(), DATE(2026, 3, 27) - TODAY(), "Exceed")</f>
        <v>Exceed</v>
      </c>
      <c r="P49" s="404"/>
      <c r="Q49" s="132"/>
      <c r="R49" s="132"/>
      <c r="S49" s="132"/>
      <c r="T49" s="132"/>
      <c r="U49" s="109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M50" s="559"/>
      <c r="P50" s="404"/>
      <c r="Q50" s="132"/>
      <c r="R50" s="132"/>
      <c r="S50" s="132"/>
      <c r="T50" s="132"/>
      <c r="U50" s="109"/>
      <c r="V50" s="136"/>
    </row>
    <row r="51">
      <c r="B51" s="447" t="s">
        <v>119</v>
      </c>
      <c r="C51" s="424"/>
      <c r="D51" s="425"/>
      <c r="E51" s="431">
        <f>Sum(I51:I54)</f>
        <v>11000</v>
      </c>
      <c r="F51" s="448" t="s">
        <v>135</v>
      </c>
      <c r="G51" s="424"/>
      <c r="H51" s="425"/>
      <c r="I51" s="449">
        <v>0.0</v>
      </c>
      <c r="J51" s="450">
        <f t="array" ref="J51">sum(IF(($R$3:$R$100=F51), $T$3:$T$100, 0))</f>
        <v>0</v>
      </c>
      <c r="K51" s="430"/>
      <c r="L51" s="431">
        <f>sum(J51:J54)</f>
        <v>10995</v>
      </c>
      <c r="M51" s="560"/>
      <c r="P51" s="404"/>
      <c r="Q51" s="132"/>
      <c r="R51" s="132"/>
      <c r="S51" s="132"/>
      <c r="T51" s="132"/>
      <c r="U51" s="109"/>
      <c r="V51" s="136"/>
    </row>
    <row r="52">
      <c r="B52" s="432"/>
      <c r="D52" s="433"/>
      <c r="E52" s="434"/>
      <c r="F52" s="451" t="s">
        <v>138</v>
      </c>
      <c r="H52" s="433"/>
      <c r="I52" s="452">
        <v>500.0</v>
      </c>
      <c r="J52" s="453">
        <f t="array" ref="J52">sum(IF(($R$3:$R$100=F52), $T$3:$T$100, 0))</f>
        <v>555</v>
      </c>
      <c r="K52" s="418"/>
      <c r="L52" s="434"/>
      <c r="M52" s="559"/>
      <c r="P52" s="404"/>
      <c r="Q52" s="132"/>
      <c r="R52" s="132"/>
      <c r="S52" s="132"/>
      <c r="T52" s="132"/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10000.0</v>
      </c>
      <c r="J53" s="450">
        <f t="array" ref="J53">sum(IF(($R$3:$R$100=F53), $T$3:$T$100, 0))</f>
        <v>10170</v>
      </c>
      <c r="K53" s="430"/>
      <c r="L53" s="37"/>
      <c r="M53" s="560"/>
      <c r="P53" s="404"/>
      <c r="Q53" s="132"/>
      <c r="R53" s="132"/>
      <c r="S53" s="132"/>
      <c r="T53" s="132"/>
      <c r="U53" s="109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500.0</v>
      </c>
      <c r="J54" s="453">
        <f t="array" ref="J54">sum(IF(($R$3:$R$100=F54), $T$3:$T$100, 0))</f>
        <v>270</v>
      </c>
      <c r="K54" s="418"/>
      <c r="L54" s="445"/>
      <c r="M54" s="559"/>
      <c r="P54" s="404"/>
      <c r="Q54" s="132"/>
      <c r="R54" s="132"/>
      <c r="S54" s="132"/>
      <c r="T54" s="132"/>
      <c r="U54" s="109"/>
      <c r="V54" s="136"/>
    </row>
    <row r="55">
      <c r="B55" s="447" t="s">
        <v>123</v>
      </c>
      <c r="C55" s="424"/>
      <c r="D55" s="425"/>
      <c r="E55" s="431">
        <f>sum(I55:I57)</f>
        <v>500</v>
      </c>
      <c r="F55" s="448" t="s">
        <v>123</v>
      </c>
      <c r="G55" s="424"/>
      <c r="H55" s="425"/>
      <c r="I55" s="456">
        <v>0.0</v>
      </c>
      <c r="J55" s="450">
        <f t="array" ref="J55">sum(IF(($R$3:$R$100=F55), $T$3:$T$100, 0))</f>
        <v>210</v>
      </c>
      <c r="K55" s="430"/>
      <c r="L55" s="431">
        <f>sum(J55:J58)</f>
        <v>1150</v>
      </c>
      <c r="M55" s="560"/>
      <c r="P55" s="404"/>
      <c r="Q55" s="132"/>
      <c r="R55" s="132"/>
      <c r="S55" s="132"/>
      <c r="T55" s="132"/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200.0</v>
      </c>
      <c r="J56" s="453">
        <f t="array" ref="J56">sum(IF(($R$3:$R$100=F56), $T$3:$T$100, 0))</f>
        <v>465</v>
      </c>
      <c r="K56" s="418"/>
      <c r="L56" s="434"/>
      <c r="M56" s="559"/>
      <c r="P56" s="404"/>
      <c r="Q56" s="132"/>
      <c r="R56" s="132"/>
      <c r="S56" s="132"/>
      <c r="T56" s="132"/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300.0</v>
      </c>
      <c r="J57" s="450">
        <f t="array" ref="J57">sum(IF(($R$3:$R$100=F57), $T$3:$T$100, 0))</f>
        <v>415</v>
      </c>
      <c r="K57" s="430"/>
      <c r="L57" s="51"/>
      <c r="M57" s="560"/>
      <c r="P57" s="404"/>
      <c r="Q57" s="132"/>
      <c r="R57" s="132"/>
      <c r="S57" s="132"/>
      <c r="T57" s="132"/>
      <c r="U57" s="113"/>
      <c r="V57" s="136"/>
    </row>
    <row r="58">
      <c r="B58" s="458" t="s">
        <v>127</v>
      </c>
      <c r="C58" s="459"/>
      <c r="D58" s="460"/>
      <c r="E58" s="461">
        <f>I58+I59</f>
        <v>500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60</v>
      </c>
      <c r="K58" s="418"/>
      <c r="L58" s="464">
        <f>J58+J59</f>
        <v>653</v>
      </c>
      <c r="M58" s="559"/>
      <c r="P58" s="404"/>
      <c r="Q58" s="132"/>
      <c r="R58" s="132"/>
      <c r="S58" s="132"/>
      <c r="T58" s="132"/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441">
        <v>400.0</v>
      </c>
      <c r="J59" s="450">
        <f t="array" ref="J59">sum(IF(($R$3:$R$100=F59), $T$3:$T$100, 0))</f>
        <v>593</v>
      </c>
      <c r="K59" s="430"/>
      <c r="L59" s="51"/>
      <c r="M59" s="560"/>
      <c r="P59" s="404"/>
      <c r="Q59" s="132"/>
      <c r="R59" s="132"/>
      <c r="S59" s="132"/>
      <c r="T59" s="132"/>
      <c r="U59" s="113"/>
      <c r="V59" s="136"/>
    </row>
    <row r="60">
      <c r="B60" s="458" t="s">
        <v>131</v>
      </c>
      <c r="C60" s="459"/>
      <c r="D60" s="460"/>
      <c r="E60" s="467">
        <f>I60+I61+I62+I63+I64</f>
        <v>2600</v>
      </c>
      <c r="F60" s="462" t="s">
        <v>148</v>
      </c>
      <c r="G60" s="459"/>
      <c r="H60" s="460"/>
      <c r="I60" s="487">
        <v>100.0</v>
      </c>
      <c r="J60" s="453">
        <f t="array" ref="J60">sum(IF(($R$3:$R$100=F60), $T$3:$T$100, 0))</f>
        <v>520</v>
      </c>
      <c r="K60" s="418"/>
      <c r="L60" s="464">
        <f>J60+J61+J62+J63+J64</f>
        <v>5265</v>
      </c>
      <c r="M60" s="559"/>
      <c r="P60" s="404"/>
      <c r="Q60" s="132"/>
      <c r="R60" s="132"/>
      <c r="S60" s="132"/>
      <c r="T60" s="132"/>
      <c r="U60" s="113"/>
      <c r="V60" s="136"/>
    </row>
    <row r="61">
      <c r="B61" s="438"/>
      <c r="D61" s="439"/>
      <c r="E61" s="438"/>
      <c r="F61" s="454" t="s">
        <v>23</v>
      </c>
      <c r="H61" s="439"/>
      <c r="I61" s="488">
        <v>0.0</v>
      </c>
      <c r="J61" s="450">
        <f t="array" ref="J61">sum(IF(($R$3:$R$100=F61), $T$3:$T$100, 0))</f>
        <v>455</v>
      </c>
      <c r="K61" s="430"/>
      <c r="L61" s="37"/>
      <c r="M61" s="560"/>
      <c r="P61" s="404"/>
      <c r="Q61" s="132"/>
      <c r="R61" s="132"/>
      <c r="S61" s="132"/>
      <c r="T61" s="132"/>
      <c r="U61" s="113"/>
      <c r="V61" s="136"/>
    </row>
    <row r="62">
      <c r="B62" s="432"/>
      <c r="D62" s="433"/>
      <c r="E62" s="432"/>
      <c r="F62" s="451" t="s">
        <v>149</v>
      </c>
      <c r="H62" s="433"/>
      <c r="I62" s="489">
        <v>2500.0</v>
      </c>
      <c r="J62" s="453">
        <f t="array" ref="J62">sum(IF(($R$3:$R$100=F62), $T$3:$T$100, 0))</f>
        <v>2475</v>
      </c>
      <c r="K62" s="418"/>
      <c r="L62" s="434"/>
      <c r="M62" s="559" t="str">
        <f>IF(DATE(2026, 3, 28) &gt; TODAY(), DATE(2026, 3, 28) - TODAY(), "Exceed")</f>
        <v>Exceed</v>
      </c>
      <c r="P62" s="404"/>
      <c r="Q62" s="132"/>
      <c r="R62" s="132"/>
      <c r="S62" s="132"/>
      <c r="T62" s="132"/>
      <c r="U62" s="113"/>
      <c r="V62" s="136"/>
    </row>
    <row r="63">
      <c r="B63" s="438"/>
      <c r="D63" s="439"/>
      <c r="E63" s="438"/>
      <c r="F63" s="454" t="s">
        <v>150</v>
      </c>
      <c r="H63" s="439"/>
      <c r="I63" s="490">
        <v>0.0</v>
      </c>
      <c r="J63" s="450">
        <f t="array" ref="J63">sum(IF(($R$3:$R$100=F63), $T$3:$T$100, 0))</f>
        <v>0</v>
      </c>
      <c r="K63" s="430"/>
      <c r="L63" s="37"/>
      <c r="M63" s="560"/>
      <c r="P63" s="404"/>
      <c r="Q63" s="132"/>
      <c r="R63" s="132"/>
      <c r="S63" s="132"/>
      <c r="T63" s="132"/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491">
        <v>0.0</v>
      </c>
      <c r="J64" s="467">
        <f t="array" ref="J64">sum(IF(($R$3:$R$100=F64), $T$3:$T$100, 0))</f>
        <v>1815</v>
      </c>
      <c r="K64" s="460"/>
      <c r="L64" s="445"/>
      <c r="M64" s="559"/>
      <c r="P64" s="404"/>
      <c r="Q64" s="132"/>
      <c r="R64" s="132"/>
      <c r="S64" s="132"/>
      <c r="T64" s="132"/>
      <c r="U64" s="113"/>
      <c r="V64" s="136"/>
    </row>
    <row r="65">
      <c r="B65" s="38" t="s">
        <v>134</v>
      </c>
      <c r="D65" s="439"/>
      <c r="E65" s="492">
        <f>sum(I65:I68)</f>
        <v>2500</v>
      </c>
      <c r="F65" s="448" t="s">
        <v>116</v>
      </c>
      <c r="G65" s="424"/>
      <c r="H65" s="425"/>
      <c r="I65" s="490">
        <v>2500.0</v>
      </c>
      <c r="J65" s="468">
        <f t="array" ref="J65">sum(IF(($R$3:$R$100=F65), $T$3:$T$100, 0))</f>
        <v>2500</v>
      </c>
      <c r="K65" s="425"/>
      <c r="L65" s="431">
        <f>sum(J65:J68)</f>
        <v>2500</v>
      </c>
      <c r="M65" s="560" t="str">
        <f>IF(DATE(2026, 4, 20) &gt; TODAY(), DATE(2026, 4, 20) - TODAY(), "Exceed")</f>
        <v>Exceed</v>
      </c>
      <c r="P65" s="404"/>
      <c r="Q65" s="132"/>
      <c r="R65" s="132"/>
      <c r="S65" s="132"/>
      <c r="T65" s="132"/>
      <c r="U65" s="113"/>
      <c r="V65" s="136"/>
    </row>
    <row r="66">
      <c r="B66" s="432"/>
      <c r="D66" s="433"/>
      <c r="E66" s="432"/>
      <c r="F66" s="493" t="s">
        <v>121</v>
      </c>
      <c r="H66" s="433"/>
      <c r="I66" s="494">
        <v>0.0</v>
      </c>
      <c r="J66" s="470">
        <f t="array" ref="J66">sum(IF(($R$3:$R$100=F66), $T$3:$T$100, 0))</f>
        <v>0</v>
      </c>
      <c r="K66" s="460"/>
      <c r="L66" s="434"/>
      <c r="M66" s="559"/>
      <c r="P66" s="404"/>
      <c r="Q66" s="132"/>
      <c r="R66" s="132"/>
      <c r="S66" s="132"/>
      <c r="T66" s="132"/>
      <c r="U66" s="113"/>
      <c r="V66" s="136"/>
    </row>
    <row r="67">
      <c r="B67" s="438"/>
      <c r="D67" s="439"/>
      <c r="E67" s="438"/>
      <c r="F67" s="454" t="s">
        <v>125</v>
      </c>
      <c r="H67" s="439"/>
      <c r="I67" s="490">
        <v>0.0</v>
      </c>
      <c r="J67" s="468">
        <f t="array" ref="J67">sum(IF(($R$3:$R$100=F67), $T$3:$T$100, 0))</f>
        <v>0</v>
      </c>
      <c r="K67" s="425"/>
      <c r="L67" s="37"/>
      <c r="M67" s="560"/>
      <c r="P67" s="404"/>
      <c r="Q67" s="132"/>
      <c r="R67" s="132"/>
      <c r="S67" s="132"/>
      <c r="T67" s="132"/>
      <c r="U67" s="113"/>
      <c r="V67" s="136"/>
    </row>
    <row r="68">
      <c r="B68" s="432"/>
      <c r="D68" s="433"/>
      <c r="E68" s="442"/>
      <c r="F68" s="493" t="s">
        <v>129</v>
      </c>
      <c r="H68" s="433"/>
      <c r="I68" s="494">
        <v>0.0</v>
      </c>
      <c r="J68" s="472">
        <f t="array" ref="J68">sum(IF(($R$3:$R$100=F68), $T$3:$T$100, 0))</f>
        <v>0</v>
      </c>
      <c r="K68" s="418"/>
      <c r="L68" s="445"/>
      <c r="M68" s="559"/>
      <c r="P68" s="404"/>
      <c r="Q68" s="132"/>
      <c r="R68" s="132"/>
      <c r="S68" s="132"/>
      <c r="T68" s="102"/>
      <c r="U68" s="113"/>
      <c r="V68" s="136"/>
    </row>
    <row r="69">
      <c r="B69" s="447" t="s">
        <v>26</v>
      </c>
      <c r="C69" s="424"/>
      <c r="D69" s="425"/>
      <c r="E69" s="495"/>
      <c r="F69" s="495" t="s">
        <v>132</v>
      </c>
      <c r="G69" s="424"/>
      <c r="H69" s="425"/>
      <c r="I69" s="496">
        <v>1100.0</v>
      </c>
      <c r="J69" s="497">
        <f t="array" ref="J69">sum(IF(($R$3:$R$100=F69), $T$3:$T$100, 0))</f>
        <v>0</v>
      </c>
      <c r="K69" s="430"/>
      <c r="L69" s="466"/>
      <c r="M69" s="561"/>
      <c r="P69" s="404"/>
      <c r="Q69" s="132"/>
      <c r="R69" s="132"/>
      <c r="S69" s="132"/>
      <c r="T69" s="132"/>
      <c r="U69" s="113"/>
      <c r="V69" s="136"/>
    </row>
    <row r="70">
      <c r="B70" s="442"/>
      <c r="C70" s="443"/>
      <c r="D70" s="444"/>
      <c r="E70" s="442"/>
      <c r="F70" s="493" t="s">
        <v>26</v>
      </c>
      <c r="H70" s="433"/>
      <c r="I70" s="551"/>
      <c r="J70" s="472">
        <f t="array" ref="J70">sum(IF(($R$3:$R$100=F70), $T$3:$T$100, 0))</f>
        <v>10</v>
      </c>
      <c r="K70" s="418"/>
      <c r="L70" s="445"/>
      <c r="M70" s="562"/>
      <c r="P70" s="404"/>
      <c r="Q70" s="132"/>
      <c r="R70" s="132"/>
      <c r="S70" s="132"/>
      <c r="T70" s="132"/>
      <c r="U70" s="113"/>
      <c r="V70" s="136"/>
    </row>
    <row r="71">
      <c r="B71" s="447" t="s">
        <v>139</v>
      </c>
      <c r="C71" s="424"/>
      <c r="D71" s="425"/>
      <c r="E71" s="495"/>
      <c r="F71" s="495" t="s">
        <v>151</v>
      </c>
      <c r="G71" s="424"/>
      <c r="H71" s="425"/>
      <c r="I71" s="499"/>
      <c r="J71" s="497">
        <f t="array" ref="J71">sum(IF(($R$3:$R$100=F71), $T$3:$T$100, 0))</f>
        <v>0</v>
      </c>
      <c r="K71" s="430"/>
      <c r="L71" s="466"/>
      <c r="M71" s="561"/>
      <c r="P71" s="404"/>
      <c r="Q71" s="132"/>
      <c r="R71" s="132"/>
      <c r="S71" s="132"/>
      <c r="T71" s="132"/>
      <c r="U71" s="113"/>
      <c r="V71" s="136"/>
    </row>
    <row r="72">
      <c r="B72" s="442"/>
      <c r="C72" s="443"/>
      <c r="D72" s="444"/>
      <c r="E72" s="442"/>
      <c r="F72" s="469" t="s">
        <v>152</v>
      </c>
      <c r="G72" s="443"/>
      <c r="H72" s="444"/>
      <c r="I72" s="498"/>
      <c r="J72" s="472">
        <f t="array" ref="J72">sum(IF(($R$3:$R$100=F72), $T$3:$T$100, 0))</f>
        <v>0</v>
      </c>
      <c r="K72" s="418"/>
      <c r="L72" s="445"/>
      <c r="M72" s="563"/>
      <c r="P72" s="404"/>
      <c r="Q72" s="132"/>
      <c r="R72" s="132"/>
      <c r="S72" s="132"/>
      <c r="T72" s="132"/>
      <c r="U72" s="113"/>
      <c r="V72" s="136"/>
    </row>
    <row r="73">
      <c r="F73" s="298" t="s">
        <v>153</v>
      </c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H75" s="500" t="s">
        <v>96</v>
      </c>
      <c r="I75" s="501">
        <f t="shared" ref="I75:J75" si="2">SUM(I45:I72)</f>
        <v>33430</v>
      </c>
      <c r="J75" s="501">
        <f t="shared" si="2"/>
        <v>35779</v>
      </c>
      <c r="L75" s="502">
        <f t="shared" ref="L75:L77" si="4">I75-J75</f>
        <v>-2349</v>
      </c>
      <c r="P75" s="404"/>
      <c r="Q75" s="132"/>
      <c r="R75" s="132"/>
      <c r="S75" s="132"/>
      <c r="T75" s="132"/>
      <c r="U75" s="113"/>
      <c r="V75" s="136"/>
    </row>
    <row r="76">
      <c r="H76" s="503" t="s">
        <v>190</v>
      </c>
      <c r="I76" s="504">
        <f t="shared" ref="I76:J76" si="3">I46+I47+I49+I58+I59+I63+I67+I68+I62+I64+I65+I66</f>
        <v>5850</v>
      </c>
      <c r="J76" s="504">
        <f t="shared" si="3"/>
        <v>7829</v>
      </c>
      <c r="L76" s="505">
        <f t="shared" si="4"/>
        <v>-1979</v>
      </c>
      <c r="P76" s="404"/>
      <c r="Q76" s="132"/>
      <c r="R76" s="132"/>
      <c r="S76" s="132"/>
      <c r="T76" s="132"/>
      <c r="U76" s="113"/>
      <c r="V76" s="136"/>
    </row>
    <row r="77">
      <c r="H77" s="506" t="s">
        <v>51</v>
      </c>
      <c r="I77" s="507">
        <f t="shared" ref="I77:J77" si="5">I75-I76</f>
        <v>27580</v>
      </c>
      <c r="J77" s="507">
        <f t="shared" si="5"/>
        <v>27950</v>
      </c>
      <c r="L77" s="508">
        <f t="shared" si="4"/>
        <v>-370</v>
      </c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B81" s="409" t="s">
        <v>340</v>
      </c>
      <c r="C81" s="410"/>
      <c r="D81" s="410"/>
      <c r="E81" s="410"/>
      <c r="F81" s="410"/>
      <c r="G81" s="410"/>
      <c r="H81" s="411"/>
      <c r="I81" s="527">
        <f t="shared" ref="I81:J81" si="6">SUM(I84:I113)</f>
        <v>34970</v>
      </c>
      <c r="J81" s="409">
        <f t="shared" si="6"/>
        <v>35779</v>
      </c>
      <c r="K81" s="411"/>
      <c r="L81" s="412"/>
      <c r="P81" s="404"/>
      <c r="Q81" s="102"/>
      <c r="R81" s="102"/>
      <c r="S81" s="102"/>
      <c r="T81" s="102"/>
      <c r="U81" s="113"/>
      <c r="V81" s="136"/>
    </row>
    <row r="82">
      <c r="B82" s="413"/>
      <c r="C82" s="414"/>
      <c r="D82" s="414"/>
      <c r="E82" s="414"/>
      <c r="F82" s="414"/>
      <c r="G82" s="414"/>
      <c r="H82" s="415"/>
      <c r="I82" s="51"/>
      <c r="J82" s="413"/>
      <c r="K82" s="415"/>
      <c r="L82" s="51"/>
      <c r="P82" s="404"/>
      <c r="Q82" s="102"/>
      <c r="R82" s="102"/>
      <c r="S82" s="102"/>
      <c r="T82" s="102"/>
      <c r="U82" s="113"/>
      <c r="V82" s="136"/>
    </row>
    <row r="83">
      <c r="B83" s="482" t="s">
        <v>107</v>
      </c>
      <c r="C83" s="417"/>
      <c r="D83" s="418"/>
      <c r="E83" s="483" t="s">
        <v>43</v>
      </c>
      <c r="F83" s="484" t="s">
        <v>108</v>
      </c>
      <c r="G83" s="417"/>
      <c r="H83" s="418"/>
      <c r="I83" s="483" t="s">
        <v>43</v>
      </c>
      <c r="J83" s="485" t="s">
        <v>4</v>
      </c>
      <c r="K83" s="418"/>
      <c r="L83" s="486" t="s">
        <v>206</v>
      </c>
      <c r="P83" s="404"/>
      <c r="Q83" s="102"/>
      <c r="R83" s="102"/>
      <c r="S83" s="102"/>
      <c r="T83" s="102"/>
      <c r="U83" s="113"/>
      <c r="V83" s="136"/>
    </row>
    <row r="84">
      <c r="B84" s="423" t="s">
        <v>114</v>
      </c>
      <c r="C84" s="424"/>
      <c r="D84" s="425"/>
      <c r="E84" s="426">
        <f>Sum(I84:I89)</f>
        <v>17120</v>
      </c>
      <c r="F84" s="427" t="str">
        <f t="array" ref="F84:F112">INDIRECT("Subcategory")</f>
        <v>HouseRent</v>
      </c>
      <c r="G84" s="424"/>
      <c r="H84" s="425"/>
      <c r="I84" s="428">
        <v>13000.0</v>
      </c>
      <c r="J84" s="429">
        <f t="array" ref="J84">sum(IF(($R$3:$R$100=F84), $T$3:$T$100, 0))</f>
        <v>13000</v>
      </c>
      <c r="K84" s="430"/>
      <c r="L84" s="431">
        <f>sum(J84:J89)</f>
        <v>15266</v>
      </c>
      <c r="P84" s="112"/>
      <c r="Q84" s="102"/>
      <c r="R84" s="102"/>
      <c r="S84" s="102"/>
      <c r="T84" s="102"/>
      <c r="U84" s="113"/>
      <c r="V84" s="136"/>
    </row>
    <row r="85">
      <c r="B85" s="432"/>
      <c r="D85" s="433"/>
      <c r="E85" s="434"/>
      <c r="F85" s="435" t="s">
        <v>118</v>
      </c>
      <c r="H85" s="433"/>
      <c r="I85" s="436">
        <v>1000.0</v>
      </c>
      <c r="J85" s="437">
        <f t="array" ref="J85">sum(IF(($R$3:$R$100=F85), $T$3:$T$100, 0))</f>
        <v>0</v>
      </c>
      <c r="K85" s="418"/>
      <c r="L85" s="434"/>
      <c r="P85" s="112"/>
      <c r="Q85" s="102"/>
      <c r="R85" s="102"/>
      <c r="S85" s="102"/>
      <c r="T85" s="102"/>
      <c r="U85" s="113"/>
      <c r="V85" s="136"/>
    </row>
    <row r="86">
      <c r="B86" s="438"/>
      <c r="D86" s="439"/>
      <c r="E86" s="37"/>
      <c r="F86" s="440" t="s">
        <v>122</v>
      </c>
      <c r="H86" s="439"/>
      <c r="I86" s="441">
        <v>400.0</v>
      </c>
      <c r="J86" s="429">
        <f t="array" ref="J86">sum(IF(($R$3:$R$100=F86), $T$3:$T$100, 0))</f>
        <v>386</v>
      </c>
      <c r="K86" s="430"/>
      <c r="L86" s="37"/>
      <c r="P86" s="112"/>
      <c r="Q86" s="102"/>
      <c r="R86" s="102"/>
      <c r="S86" s="102"/>
      <c r="T86" s="102"/>
      <c r="U86" s="113"/>
      <c r="V86" s="136"/>
    </row>
    <row r="87">
      <c r="B87" s="432"/>
      <c r="D87" s="433"/>
      <c r="E87" s="434"/>
      <c r="F87" s="435" t="s">
        <v>126</v>
      </c>
      <c r="H87" s="433"/>
      <c r="I87" s="419">
        <v>1080.0</v>
      </c>
      <c r="J87" s="437">
        <f t="array" ref="J87">sum(IF(($R$3:$R$100=F87), $T$3:$T$100, 0))</f>
        <v>1080</v>
      </c>
      <c r="K87" s="418"/>
      <c r="L87" s="434"/>
      <c r="P87" s="112"/>
      <c r="Q87" s="102"/>
      <c r="R87" s="102"/>
      <c r="S87" s="102"/>
      <c r="T87" s="102"/>
      <c r="U87" s="113"/>
      <c r="V87" s="136"/>
    </row>
    <row r="88">
      <c r="B88" s="438"/>
      <c r="D88" s="439"/>
      <c r="E88" s="37"/>
      <c r="F88" s="440" t="s">
        <v>130</v>
      </c>
      <c r="H88" s="439"/>
      <c r="I88" s="441">
        <v>840.0</v>
      </c>
      <c r="J88" s="429">
        <f t="array" ref="J88">sum(IF(($R$3:$R$100=F88), $T$3:$T$100, 0))</f>
        <v>0</v>
      </c>
      <c r="K88" s="430"/>
      <c r="L88" s="37"/>
      <c r="P88" s="112"/>
      <c r="Q88" s="102"/>
      <c r="R88" s="102"/>
      <c r="S88" s="102"/>
      <c r="T88" s="102"/>
      <c r="U88" s="113"/>
      <c r="V88" s="136"/>
    </row>
    <row r="89">
      <c r="B89" s="442"/>
      <c r="C89" s="443"/>
      <c r="D89" s="444"/>
      <c r="E89" s="445"/>
      <c r="F89" s="446" t="s">
        <v>133</v>
      </c>
      <c r="G89" s="443"/>
      <c r="H89" s="444"/>
      <c r="I89" s="419">
        <v>800.0</v>
      </c>
      <c r="J89" s="437">
        <f t="array" ref="J89">sum(IF(($R$3:$R$100=F89), $T$3:$T$100, 0))</f>
        <v>800</v>
      </c>
      <c r="K89" s="418"/>
      <c r="L89" s="445"/>
      <c r="P89" s="112"/>
      <c r="Q89" s="102"/>
      <c r="R89" s="102"/>
      <c r="S89" s="102"/>
      <c r="T89" s="102"/>
      <c r="U89" s="113"/>
      <c r="V89" s="136"/>
    </row>
    <row r="90">
      <c r="B90" s="447" t="s">
        <v>119</v>
      </c>
      <c r="C90" s="424"/>
      <c r="D90" s="425"/>
      <c r="E90" s="431">
        <f>Sum(I90:I93)</f>
        <v>11500</v>
      </c>
      <c r="F90" s="448" t="s">
        <v>135</v>
      </c>
      <c r="G90" s="424"/>
      <c r="H90" s="425"/>
      <c r="I90" s="449">
        <v>500.0</v>
      </c>
      <c r="J90" s="450">
        <f t="array" ref="J90">sum(IF(($R$3:$R$100=F90), $T$3:$T$100, 0))</f>
        <v>0</v>
      </c>
      <c r="K90" s="430"/>
      <c r="L90" s="431">
        <f>sum(J90:J93)</f>
        <v>10995</v>
      </c>
      <c r="P90" s="112"/>
      <c r="Q90" s="102"/>
      <c r="R90" s="102"/>
      <c r="S90" s="102"/>
      <c r="T90" s="102"/>
      <c r="U90" s="113"/>
      <c r="V90" s="136"/>
    </row>
    <row r="91">
      <c r="B91" s="432"/>
      <c r="D91" s="433"/>
      <c r="E91" s="434"/>
      <c r="F91" s="451" t="s">
        <v>138</v>
      </c>
      <c r="H91" s="433"/>
      <c r="I91" s="452">
        <v>500.0</v>
      </c>
      <c r="J91" s="453">
        <f t="array" ref="J91">sum(IF(($R$3:$R$100=F91), $T$3:$T$100, 0))</f>
        <v>555</v>
      </c>
      <c r="K91" s="418"/>
      <c r="L91" s="434"/>
      <c r="P91" s="112"/>
      <c r="Q91" s="102"/>
      <c r="R91" s="102"/>
      <c r="S91" s="102"/>
      <c r="T91" s="102"/>
      <c r="U91" s="113"/>
      <c r="V91" s="136"/>
    </row>
    <row r="92">
      <c r="B92" s="438"/>
      <c r="D92" s="439"/>
      <c r="E92" s="37"/>
      <c r="F92" s="454" t="s">
        <v>141</v>
      </c>
      <c r="H92" s="439"/>
      <c r="I92" s="449">
        <v>10000.0</v>
      </c>
      <c r="J92" s="450">
        <f t="array" ref="J92">sum(IF(($R$3:$R$100=F92), $T$3:$T$100, 0))</f>
        <v>10170</v>
      </c>
      <c r="K92" s="430"/>
      <c r="L92" s="37"/>
      <c r="P92" s="112"/>
      <c r="Q92" s="102"/>
      <c r="R92" s="102"/>
      <c r="S92" s="102"/>
      <c r="T92" s="102"/>
      <c r="U92" s="113"/>
      <c r="V92" s="136"/>
    </row>
    <row r="93">
      <c r="B93" s="442"/>
      <c r="C93" s="443"/>
      <c r="D93" s="444"/>
      <c r="E93" s="445"/>
      <c r="F93" s="455" t="s">
        <v>142</v>
      </c>
      <c r="G93" s="443"/>
      <c r="H93" s="444"/>
      <c r="I93" s="452">
        <v>500.0</v>
      </c>
      <c r="J93" s="453">
        <f t="array" ref="J93">sum(IF(($R$3:$R$100=F93), $T$3:$T$100, 0))</f>
        <v>270</v>
      </c>
      <c r="K93" s="418"/>
      <c r="L93" s="445"/>
      <c r="P93" s="112"/>
      <c r="Q93" s="102"/>
      <c r="R93" s="102"/>
      <c r="S93" s="102"/>
      <c r="T93" s="102"/>
      <c r="U93" s="113"/>
      <c r="V93" s="136"/>
    </row>
    <row r="94">
      <c r="B94" s="447" t="s">
        <v>123</v>
      </c>
      <c r="C94" s="424"/>
      <c r="D94" s="425"/>
      <c r="E94" s="431">
        <f>sum(I94:I96)</f>
        <v>800</v>
      </c>
      <c r="F94" s="448" t="s">
        <v>123</v>
      </c>
      <c r="G94" s="424"/>
      <c r="H94" s="425"/>
      <c r="I94" s="456">
        <v>0.0</v>
      </c>
      <c r="J94" s="450">
        <f t="array" ref="J94">sum(IF(($R$3:$R$100=F94), $T$3:$T$100, 0))</f>
        <v>210</v>
      </c>
      <c r="K94" s="430"/>
      <c r="L94" s="431">
        <f>sum(J94:J97)</f>
        <v>1150</v>
      </c>
      <c r="P94" s="112"/>
      <c r="Q94" s="102"/>
      <c r="R94" s="102"/>
      <c r="S94" s="102"/>
      <c r="T94" s="102"/>
      <c r="U94" s="113"/>
      <c r="V94" s="136"/>
    </row>
    <row r="95">
      <c r="B95" s="432"/>
      <c r="D95" s="433"/>
      <c r="E95" s="434"/>
      <c r="F95" s="451" t="s">
        <v>144</v>
      </c>
      <c r="H95" s="433"/>
      <c r="I95" s="452">
        <v>300.0</v>
      </c>
      <c r="J95" s="453">
        <f t="array" ref="J95">sum(IF(($R$3:$R$100=F95), $T$3:$T$100, 0))</f>
        <v>465</v>
      </c>
      <c r="K95" s="418"/>
      <c r="L95" s="434"/>
      <c r="P95" s="112"/>
      <c r="Q95" s="102"/>
      <c r="R95" s="102"/>
      <c r="S95" s="102"/>
      <c r="T95" s="102"/>
      <c r="U95" s="113"/>
      <c r="V95" s="136"/>
    </row>
    <row r="96">
      <c r="B96" s="413"/>
      <c r="C96" s="414"/>
      <c r="D96" s="415"/>
      <c r="E96" s="51"/>
      <c r="F96" s="457" t="s">
        <v>145</v>
      </c>
      <c r="G96" s="414"/>
      <c r="H96" s="415"/>
      <c r="I96" s="449">
        <v>500.0</v>
      </c>
      <c r="J96" s="450">
        <f t="array" ref="J96">sum(IF(($R$3:$R$100=F96), $T$3:$T$100, 0))</f>
        <v>415</v>
      </c>
      <c r="K96" s="430"/>
      <c r="L96" s="51"/>
      <c r="P96" s="112"/>
      <c r="Q96" s="102"/>
      <c r="R96" s="102"/>
      <c r="S96" s="102"/>
      <c r="T96" s="102"/>
      <c r="U96" s="113"/>
      <c r="V96" s="136"/>
    </row>
    <row r="97">
      <c r="B97" s="458" t="s">
        <v>127</v>
      </c>
      <c r="C97" s="459"/>
      <c r="D97" s="460"/>
      <c r="E97" s="461">
        <f>I97+I98</f>
        <v>250</v>
      </c>
      <c r="F97" s="462" t="s">
        <v>146</v>
      </c>
      <c r="G97" s="459"/>
      <c r="H97" s="460"/>
      <c r="I97" s="436">
        <v>50.0</v>
      </c>
      <c r="J97" s="453">
        <f t="array" ref="J97">sum(IF(($R$3:$R$100=F97), $T$3:$T$100, 0))</f>
        <v>60</v>
      </c>
      <c r="K97" s="418"/>
      <c r="L97" s="464">
        <f>J97+J98</f>
        <v>653</v>
      </c>
      <c r="P97" s="112"/>
      <c r="Q97" s="102"/>
      <c r="R97" s="102"/>
      <c r="S97" s="102"/>
      <c r="T97" s="102"/>
      <c r="U97" s="113"/>
      <c r="V97" s="136"/>
    </row>
    <row r="98">
      <c r="B98" s="413"/>
      <c r="C98" s="414"/>
      <c r="D98" s="415"/>
      <c r="E98" s="51"/>
      <c r="F98" s="454" t="s">
        <v>147</v>
      </c>
      <c r="H98" s="439"/>
      <c r="I98" s="441">
        <v>200.0</v>
      </c>
      <c r="J98" s="450">
        <f t="array" ref="J98">sum(IF(($R$3:$R$100=F98), $T$3:$T$100, 0))</f>
        <v>593</v>
      </c>
      <c r="K98" s="430"/>
      <c r="L98" s="51"/>
      <c r="P98" s="112"/>
      <c r="Q98" s="102"/>
      <c r="R98" s="102"/>
      <c r="S98" s="102"/>
      <c r="T98" s="102"/>
      <c r="U98" s="113"/>
      <c r="V98" s="136"/>
    </row>
    <row r="99">
      <c r="B99" s="458" t="s">
        <v>131</v>
      </c>
      <c r="C99" s="459"/>
      <c r="D99" s="460"/>
      <c r="E99" s="467">
        <f>I99+I100+I101+I102+I103</f>
        <v>2700</v>
      </c>
      <c r="F99" s="462" t="s">
        <v>148</v>
      </c>
      <c r="G99" s="459"/>
      <c r="H99" s="460"/>
      <c r="I99" s="487">
        <v>200.0</v>
      </c>
      <c r="J99" s="453">
        <f t="array" ref="J99">sum(IF(($R$3:$R$100=F99), $T$3:$T$100, 0))</f>
        <v>520</v>
      </c>
      <c r="K99" s="418"/>
      <c r="L99" s="464">
        <f>J99+J100+J101+J102+J103</f>
        <v>5265</v>
      </c>
      <c r="P99" s="112"/>
      <c r="Q99" s="102"/>
      <c r="R99" s="102"/>
      <c r="S99" s="102"/>
      <c r="T99" s="102"/>
      <c r="U99" s="113"/>
      <c r="V99" s="136"/>
    </row>
    <row r="100">
      <c r="B100" s="438"/>
      <c r="D100" s="439"/>
      <c r="E100" s="438"/>
      <c r="F100" s="454" t="s">
        <v>23</v>
      </c>
      <c r="H100" s="439"/>
      <c r="I100" s="488">
        <v>0.0</v>
      </c>
      <c r="J100" s="450">
        <f t="array" ref="J100">sum(IF(($R$3:$R$100=F100), $T$3:$T$100, 0))</f>
        <v>455</v>
      </c>
      <c r="K100" s="430"/>
      <c r="L100" s="37"/>
      <c r="P100" s="112"/>
      <c r="Q100" s="102"/>
      <c r="R100" s="102"/>
      <c r="S100" s="102"/>
      <c r="T100" s="102"/>
      <c r="U100" s="113"/>
      <c r="V100" s="136"/>
    </row>
    <row r="101">
      <c r="B101" s="432"/>
      <c r="D101" s="433"/>
      <c r="E101" s="432"/>
      <c r="F101" s="451" t="s">
        <v>149</v>
      </c>
      <c r="H101" s="433"/>
      <c r="I101" s="489">
        <v>2500.0</v>
      </c>
      <c r="J101" s="453">
        <f t="array" ref="J101">sum(IF(($R$3:$R$100=F101), $T$3:$T$100, 0))</f>
        <v>2475</v>
      </c>
      <c r="K101" s="418"/>
      <c r="L101" s="434"/>
      <c r="P101" s="298"/>
    </row>
    <row r="102">
      <c r="B102" s="438"/>
      <c r="D102" s="439"/>
      <c r="E102" s="438"/>
      <c r="F102" s="454" t="s">
        <v>150</v>
      </c>
      <c r="H102" s="439"/>
      <c r="I102" s="490">
        <v>0.0</v>
      </c>
      <c r="J102" s="450">
        <f t="array" ref="J102">sum(IF(($R$3:$R$100=F102), $T$3:$T$100, 0))</f>
        <v>0</v>
      </c>
      <c r="K102" s="430"/>
      <c r="L102" s="37"/>
      <c r="P102" s="298"/>
    </row>
    <row r="103">
      <c r="B103" s="442"/>
      <c r="C103" s="443"/>
      <c r="D103" s="444"/>
      <c r="E103" s="442"/>
      <c r="F103" s="451" t="s">
        <v>131</v>
      </c>
      <c r="H103" s="433"/>
      <c r="I103" s="491">
        <v>0.0</v>
      </c>
      <c r="J103" s="467">
        <f t="array" ref="J103">sum(IF(($R$3:$R$100=F103), $T$3:$T$100, 0))</f>
        <v>1815</v>
      </c>
      <c r="K103" s="460"/>
      <c r="L103" s="445"/>
      <c r="P103" s="298"/>
    </row>
    <row r="104">
      <c r="B104" s="38" t="s">
        <v>134</v>
      </c>
      <c r="D104" s="439"/>
      <c r="E104" s="492">
        <f>sum(I104:I107)</f>
        <v>2500</v>
      </c>
      <c r="F104" s="448" t="s">
        <v>116</v>
      </c>
      <c r="G104" s="424"/>
      <c r="H104" s="425"/>
      <c r="I104" s="490">
        <v>2500.0</v>
      </c>
      <c r="J104" s="468">
        <f t="array" ref="J104">sum(IF(($R$3:$R$100=F104), $T$3:$T$100, 0))</f>
        <v>2500</v>
      </c>
      <c r="K104" s="425"/>
      <c r="L104" s="431">
        <f>sum(J104:J107)</f>
        <v>2500</v>
      </c>
      <c r="P104" s="298"/>
    </row>
    <row r="105">
      <c r="B105" s="432"/>
      <c r="D105" s="433"/>
      <c r="E105" s="432"/>
      <c r="F105" s="493" t="s">
        <v>121</v>
      </c>
      <c r="H105" s="433"/>
      <c r="I105" s="494">
        <v>0.0</v>
      </c>
      <c r="J105" s="470">
        <f t="array" ref="J105">sum(IF(($R$3:$R$100=F105), $T$3:$T$100, 0))</f>
        <v>0</v>
      </c>
      <c r="K105" s="460"/>
      <c r="L105" s="434"/>
      <c r="P105" s="298"/>
    </row>
    <row r="106">
      <c r="B106" s="438"/>
      <c r="D106" s="439"/>
      <c r="E106" s="438"/>
      <c r="F106" s="454" t="s">
        <v>125</v>
      </c>
      <c r="H106" s="439"/>
      <c r="I106" s="490">
        <v>0.0</v>
      </c>
      <c r="J106" s="468">
        <f t="array" ref="J106">sum(IF(($R$3:$R$100=F106), $T$3:$T$100, 0))</f>
        <v>0</v>
      </c>
      <c r="K106" s="425"/>
      <c r="L106" s="37"/>
      <c r="P106" s="298"/>
    </row>
    <row r="107">
      <c r="B107" s="432"/>
      <c r="D107" s="433"/>
      <c r="E107" s="442"/>
      <c r="F107" s="493" t="s">
        <v>129</v>
      </c>
      <c r="H107" s="433"/>
      <c r="I107" s="494">
        <v>0.0</v>
      </c>
      <c r="J107" s="472">
        <f t="array" ref="J107">sum(IF(($R$3:$R$100=F107), $T$3:$T$100, 0))</f>
        <v>0</v>
      </c>
      <c r="K107" s="418"/>
      <c r="L107" s="445"/>
      <c r="P107" s="298"/>
    </row>
    <row r="108">
      <c r="B108" s="447" t="s">
        <v>26</v>
      </c>
      <c r="C108" s="424"/>
      <c r="D108" s="425"/>
      <c r="E108" s="495"/>
      <c r="F108" s="495" t="s">
        <v>132</v>
      </c>
      <c r="G108" s="424"/>
      <c r="H108" s="425"/>
      <c r="I108" s="496">
        <v>100.0</v>
      </c>
      <c r="J108" s="497">
        <f t="array" ref="J108">sum(IF(($R$3:$R$100=F108), $T$3:$T$100, 0))</f>
        <v>0</v>
      </c>
      <c r="K108" s="430"/>
      <c r="L108" s="466"/>
      <c r="P108" s="298"/>
    </row>
    <row r="109">
      <c r="B109" s="442"/>
      <c r="C109" s="443"/>
      <c r="D109" s="444"/>
      <c r="E109" s="442"/>
      <c r="F109" s="493" t="s">
        <v>26</v>
      </c>
      <c r="H109" s="433"/>
      <c r="I109" s="551"/>
      <c r="J109" s="472">
        <f t="array" ref="J109">sum(IF(($R$3:$R$100=F109), $T$3:$T$100, 0))</f>
        <v>10</v>
      </c>
      <c r="K109" s="418"/>
      <c r="L109" s="445"/>
      <c r="P109" s="298"/>
    </row>
    <row r="110">
      <c r="B110" s="447" t="s">
        <v>139</v>
      </c>
      <c r="C110" s="424"/>
      <c r="D110" s="425"/>
      <c r="E110" s="495"/>
      <c r="F110" s="495" t="s">
        <v>151</v>
      </c>
      <c r="G110" s="424"/>
      <c r="H110" s="425"/>
      <c r="I110" s="499"/>
      <c r="J110" s="497">
        <f t="array" ref="J110">sum(IF(($R$3:$R$100=F110), $T$3:$T$100, 0))</f>
        <v>0</v>
      </c>
      <c r="K110" s="430"/>
      <c r="L110" s="466"/>
      <c r="P110" s="298"/>
    </row>
    <row r="111">
      <c r="B111" s="442"/>
      <c r="C111" s="443"/>
      <c r="D111" s="444"/>
      <c r="E111" s="442"/>
      <c r="F111" s="469" t="s">
        <v>152</v>
      </c>
      <c r="G111" s="443"/>
      <c r="H111" s="444"/>
      <c r="I111" s="498"/>
      <c r="J111" s="472">
        <f t="array" ref="J111">sum(IF(($R$3:$R$100=F111), $T$3:$T$100, 0))</f>
        <v>0</v>
      </c>
      <c r="K111" s="418"/>
      <c r="L111" s="445"/>
      <c r="P111" s="298"/>
    </row>
    <row r="112">
      <c r="F112" s="298" t="s">
        <v>153</v>
      </c>
      <c r="P112" s="298"/>
    </row>
    <row r="113">
      <c r="P113" s="298"/>
    </row>
    <row r="114">
      <c r="H114" s="500" t="s">
        <v>96</v>
      </c>
      <c r="I114" s="501">
        <f t="shared" ref="I114:J114" si="7">SUM(I84:I111)</f>
        <v>34970</v>
      </c>
      <c r="J114" s="501">
        <f t="shared" si="7"/>
        <v>35779</v>
      </c>
      <c r="L114" s="502">
        <f t="shared" ref="L114:L116" si="9">I114-J114</f>
        <v>-809</v>
      </c>
      <c r="P114" s="298"/>
    </row>
    <row r="115">
      <c r="H115" s="503" t="s">
        <v>190</v>
      </c>
      <c r="I115" s="504">
        <f t="shared" ref="I115:J115" si="8">I85+I86+I88+I97+I98+I102+I106+I107+I101+I103+I104+I105</f>
        <v>7490</v>
      </c>
      <c r="J115" s="504">
        <f t="shared" si="8"/>
        <v>7829</v>
      </c>
      <c r="L115" s="505">
        <f t="shared" si="9"/>
        <v>-339</v>
      </c>
      <c r="P115" s="298"/>
    </row>
    <row r="116">
      <c r="H116" s="506" t="s">
        <v>51</v>
      </c>
      <c r="I116" s="507">
        <f t="shared" ref="I116:J116" si="10">I114-I115</f>
        <v>27480</v>
      </c>
      <c r="J116" s="507">
        <f t="shared" si="10"/>
        <v>27950</v>
      </c>
      <c r="L116" s="508">
        <f t="shared" si="9"/>
        <v>-470</v>
      </c>
      <c r="P116" s="298"/>
    </row>
    <row r="117">
      <c r="B117" s="564"/>
      <c r="C117" s="564"/>
      <c r="D117" s="564"/>
      <c r="E117" s="564"/>
      <c r="F117" s="564"/>
      <c r="G117" s="564"/>
      <c r="H117" s="564"/>
      <c r="I117" s="564"/>
      <c r="J117" s="564"/>
      <c r="K117" s="564"/>
      <c r="L117" s="564"/>
      <c r="P117" s="298"/>
    </row>
    <row r="118">
      <c r="P118" s="298"/>
    </row>
    <row r="119"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213">
    <mergeCell ref="F70:H70"/>
    <mergeCell ref="F71:H71"/>
    <mergeCell ref="J71:K71"/>
    <mergeCell ref="F72:H72"/>
    <mergeCell ref="B71:D72"/>
    <mergeCell ref="B81:H82"/>
    <mergeCell ref="I81:I82"/>
    <mergeCell ref="J81:K82"/>
    <mergeCell ref="B83:D83"/>
    <mergeCell ref="F83:H83"/>
    <mergeCell ref="F84:H84"/>
    <mergeCell ref="B97:D98"/>
    <mergeCell ref="B99:D103"/>
    <mergeCell ref="E99:E103"/>
    <mergeCell ref="J100:K100"/>
    <mergeCell ref="F101:H101"/>
    <mergeCell ref="J101:K101"/>
    <mergeCell ref="J102:K102"/>
    <mergeCell ref="F105:H105"/>
    <mergeCell ref="F106:H106"/>
    <mergeCell ref="F104:H104"/>
    <mergeCell ref="F107:H107"/>
    <mergeCell ref="F108:H108"/>
    <mergeCell ref="F109:H109"/>
    <mergeCell ref="F110:H110"/>
    <mergeCell ref="F111:H111"/>
    <mergeCell ref="B104:D107"/>
    <mergeCell ref="B108:D109"/>
    <mergeCell ref="E108:E109"/>
    <mergeCell ref="B110:D111"/>
    <mergeCell ref="E110:E111"/>
    <mergeCell ref="L104:L107"/>
    <mergeCell ref="L108:L109"/>
    <mergeCell ref="L110:L111"/>
    <mergeCell ref="J109:K109"/>
    <mergeCell ref="J110:K110"/>
    <mergeCell ref="J111:K111"/>
    <mergeCell ref="J113:K113"/>
    <mergeCell ref="J114:K114"/>
    <mergeCell ref="J115:K115"/>
    <mergeCell ref="J116:K116"/>
    <mergeCell ref="F102:H102"/>
    <mergeCell ref="F103:H103"/>
    <mergeCell ref="E104:E107"/>
    <mergeCell ref="J105:K105"/>
    <mergeCell ref="J106:K106"/>
    <mergeCell ref="J107:K107"/>
    <mergeCell ref="J108:K108"/>
    <mergeCell ref="B42:H43"/>
    <mergeCell ref="B44:D44"/>
    <mergeCell ref="F44:H44"/>
    <mergeCell ref="J44:K44"/>
    <mergeCell ref="E45:E50"/>
    <mergeCell ref="F45:H45"/>
    <mergeCell ref="F50:H50"/>
    <mergeCell ref="J50:K50"/>
    <mergeCell ref="J52:K52"/>
    <mergeCell ref="F51:H51"/>
    <mergeCell ref="J51:K51"/>
    <mergeCell ref="F52:H52"/>
    <mergeCell ref="F53:H53"/>
    <mergeCell ref="J53:K53"/>
    <mergeCell ref="F54:H54"/>
    <mergeCell ref="F55:H55"/>
    <mergeCell ref="J59:K59"/>
    <mergeCell ref="J60:K60"/>
    <mergeCell ref="F56:H56"/>
    <mergeCell ref="F57:H57"/>
    <mergeCell ref="F58:H58"/>
    <mergeCell ref="F59:H59"/>
    <mergeCell ref="F60:H60"/>
    <mergeCell ref="F61:H61"/>
    <mergeCell ref="F62:H62"/>
    <mergeCell ref="B84:D89"/>
    <mergeCell ref="E84:E89"/>
    <mergeCell ref="B90:D93"/>
    <mergeCell ref="E90:E93"/>
    <mergeCell ref="B94:D96"/>
    <mergeCell ref="E94:E96"/>
    <mergeCell ref="E97:E98"/>
    <mergeCell ref="J103:K103"/>
    <mergeCell ref="J104:K104"/>
    <mergeCell ref="B2:F2"/>
    <mergeCell ref="H2:H3"/>
    <mergeCell ref="I2:I3"/>
    <mergeCell ref="L2:M2"/>
    <mergeCell ref="W2:Y2"/>
    <mergeCell ref="X3:Y3"/>
    <mergeCell ref="X4:Y4"/>
    <mergeCell ref="X12:Y12"/>
    <mergeCell ref="X13:Y13"/>
    <mergeCell ref="X14:Y14"/>
    <mergeCell ref="L15:M15"/>
    <mergeCell ref="X15:Y15"/>
    <mergeCell ref="X5:Y5"/>
    <mergeCell ref="X6:Y6"/>
    <mergeCell ref="X7:Y7"/>
    <mergeCell ref="X8:Y8"/>
    <mergeCell ref="X9:Y9"/>
    <mergeCell ref="X10:Y10"/>
    <mergeCell ref="X11:Y11"/>
    <mergeCell ref="X16:Y16"/>
    <mergeCell ref="X17:Y17"/>
    <mergeCell ref="X18:Y18"/>
    <mergeCell ref="X19:Y19"/>
    <mergeCell ref="X20:Y20"/>
    <mergeCell ref="X21:Y21"/>
    <mergeCell ref="X22:Y22"/>
    <mergeCell ref="X23:Y23"/>
    <mergeCell ref="L24:M24"/>
    <mergeCell ref="L33:M33"/>
    <mergeCell ref="I42:I43"/>
    <mergeCell ref="J42:K43"/>
    <mergeCell ref="L42:L43"/>
    <mergeCell ref="M42:M43"/>
    <mergeCell ref="F46:H46"/>
    <mergeCell ref="F47:H47"/>
    <mergeCell ref="F48:H48"/>
    <mergeCell ref="F49:H49"/>
    <mergeCell ref="F69:H69"/>
    <mergeCell ref="J69:K69"/>
    <mergeCell ref="F63:H63"/>
    <mergeCell ref="F64:H64"/>
    <mergeCell ref="F65:H65"/>
    <mergeCell ref="J65:K65"/>
    <mergeCell ref="F66:H66"/>
    <mergeCell ref="F67:H67"/>
    <mergeCell ref="F68:H68"/>
    <mergeCell ref="B45:D50"/>
    <mergeCell ref="B51:D54"/>
    <mergeCell ref="E51:E54"/>
    <mergeCell ref="B55:D57"/>
    <mergeCell ref="E55:E57"/>
    <mergeCell ref="B58:D59"/>
    <mergeCell ref="E58:E59"/>
    <mergeCell ref="B60:D64"/>
    <mergeCell ref="E60:E64"/>
    <mergeCell ref="B65:D68"/>
    <mergeCell ref="E65:E68"/>
    <mergeCell ref="B69:D70"/>
    <mergeCell ref="E69:E70"/>
    <mergeCell ref="E71:E72"/>
    <mergeCell ref="J83:K83"/>
    <mergeCell ref="J84:K84"/>
    <mergeCell ref="F85:H85"/>
    <mergeCell ref="F86:H86"/>
    <mergeCell ref="F87:H87"/>
    <mergeCell ref="F88:H88"/>
    <mergeCell ref="F89:H89"/>
    <mergeCell ref="F90:H90"/>
    <mergeCell ref="J90:K90"/>
    <mergeCell ref="F91:H91"/>
    <mergeCell ref="F92:H92"/>
    <mergeCell ref="F93:H93"/>
    <mergeCell ref="F94:H94"/>
    <mergeCell ref="J94:K94"/>
    <mergeCell ref="L94:L96"/>
    <mergeCell ref="L97:L98"/>
    <mergeCell ref="L99:L103"/>
    <mergeCell ref="L60:L64"/>
    <mergeCell ref="L65:L68"/>
    <mergeCell ref="L69:L70"/>
    <mergeCell ref="L71:L72"/>
    <mergeCell ref="L81:L82"/>
    <mergeCell ref="L84:L89"/>
    <mergeCell ref="L90:L93"/>
    <mergeCell ref="J45:K45"/>
    <mergeCell ref="L45:L50"/>
    <mergeCell ref="J46:K46"/>
    <mergeCell ref="J47:K47"/>
    <mergeCell ref="J48:K48"/>
    <mergeCell ref="J49:K49"/>
    <mergeCell ref="L51:L54"/>
    <mergeCell ref="J58:K58"/>
    <mergeCell ref="J61:K61"/>
    <mergeCell ref="J62:K62"/>
    <mergeCell ref="J63:K63"/>
    <mergeCell ref="J54:K54"/>
    <mergeCell ref="J55:K55"/>
    <mergeCell ref="L55:L57"/>
    <mergeCell ref="J56:K56"/>
    <mergeCell ref="J57:K57"/>
    <mergeCell ref="L58:L59"/>
    <mergeCell ref="J64:K64"/>
    <mergeCell ref="J66:K66"/>
    <mergeCell ref="J67:K67"/>
    <mergeCell ref="J68:K68"/>
    <mergeCell ref="J70:K70"/>
    <mergeCell ref="J72:K72"/>
    <mergeCell ref="J74:K74"/>
    <mergeCell ref="J75:K75"/>
    <mergeCell ref="J89:K89"/>
    <mergeCell ref="J91:K91"/>
    <mergeCell ref="J92:K92"/>
    <mergeCell ref="J93:K93"/>
    <mergeCell ref="J95:K95"/>
    <mergeCell ref="J96:K96"/>
    <mergeCell ref="J76:K76"/>
    <mergeCell ref="J77:K77"/>
    <mergeCell ref="J80:K80"/>
    <mergeCell ref="J85:K85"/>
    <mergeCell ref="J86:K86"/>
    <mergeCell ref="J87:K87"/>
    <mergeCell ref="J88:K88"/>
    <mergeCell ref="F99:H99"/>
    <mergeCell ref="F100:H100"/>
    <mergeCell ref="F95:H95"/>
    <mergeCell ref="F96:H96"/>
    <mergeCell ref="F97:H97"/>
    <mergeCell ref="J97:K97"/>
    <mergeCell ref="F98:H98"/>
    <mergeCell ref="J98:K98"/>
    <mergeCell ref="J99:K99"/>
  </mergeCells>
  <conditionalFormatting sqref="J45:K72 J84:K111">
    <cfRule type="cellIs" dxfId="13" priority="1" operator="greaterThanOrEqual">
      <formula>I45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W4:W23 I4:I35 B4:B39 P3:P1000">
      <formula1>OR(NOT(ISERROR(DATEVALUE(B3))), AND(ISNUMBER(B3), LEFT(CELL("format", B3))="D"))</formula1>
    </dataValidation>
  </dataValidation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3.63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152729</v>
      </c>
      <c r="L2" s="84" t="s">
        <v>34</v>
      </c>
      <c r="M2" s="86"/>
      <c r="N2" s="400">
        <f>M4+M5+M8+M9+M12</f>
        <v>4600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  <c r="W2" s="3" t="s">
        <v>261</v>
      </c>
      <c r="X2" s="86"/>
      <c r="Y2" s="81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46138.0</v>
      </c>
      <c r="Q3" s="132" t="s">
        <v>119</v>
      </c>
      <c r="R3" s="132" t="s">
        <v>141</v>
      </c>
      <c r="S3" s="132" t="s">
        <v>51</v>
      </c>
      <c r="T3" s="132">
        <f>10000+120</f>
        <v>10120</v>
      </c>
      <c r="U3" s="109"/>
      <c r="V3" s="136"/>
      <c r="W3" s="510" t="s">
        <v>6</v>
      </c>
      <c r="X3" s="511" t="s">
        <v>262</v>
      </c>
      <c r="Y3" s="93"/>
    </row>
    <row r="4">
      <c r="B4" s="317">
        <v>46138.0</v>
      </c>
      <c r="C4" s="108"/>
      <c r="D4" s="150">
        <v>49500.0</v>
      </c>
      <c r="E4" s="108" t="s">
        <v>143</v>
      </c>
      <c r="F4" s="174" t="s">
        <v>120</v>
      </c>
      <c r="H4" s="318" t="str">
        <f t="shared" ref="H4:H35" si="1">TEXT(I4, "dddd")
</f>
        <v>Sunday</v>
      </c>
      <c r="I4" s="319">
        <v>46138.0</v>
      </c>
      <c r="J4" s="170">
        <f t="array" ref="J4">sum(IF(($P$3:$P$100=I4), $T$3:$T$100, 0))</f>
        <v>10120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2320</v>
      </c>
      <c r="N4" s="322">
        <f t="array" ref="N4">INDIRECT("'" &amp; $E$82 &amp; "'!M4")</f>
        <v>2060</v>
      </c>
      <c r="P4" s="404">
        <v>46140.0</v>
      </c>
      <c r="Q4" s="132" t="s">
        <v>114</v>
      </c>
      <c r="R4" s="132" t="s">
        <v>115</v>
      </c>
      <c r="S4" s="132" t="s">
        <v>51</v>
      </c>
      <c r="T4" s="132">
        <v>13000.0</v>
      </c>
      <c r="U4" s="109"/>
      <c r="V4" s="136"/>
      <c r="W4" s="512">
        <v>46153.0</v>
      </c>
      <c r="X4" s="36" t="s">
        <v>350</v>
      </c>
      <c r="Y4" s="439"/>
    </row>
    <row r="5">
      <c r="B5" s="317">
        <v>46139.0</v>
      </c>
      <c r="C5" s="108"/>
      <c r="D5" s="142">
        <v>25000.0</v>
      </c>
      <c r="E5" s="108" t="s">
        <v>120</v>
      </c>
      <c r="F5" s="174" t="s">
        <v>136</v>
      </c>
      <c r="H5" s="318" t="str">
        <f t="shared" si="1"/>
        <v>Monday</v>
      </c>
      <c r="I5" s="319">
        <v>46139.0</v>
      </c>
      <c r="J5" s="170">
        <f t="array" ref="J5">sum(IF(($P$3:$P$100=I5), $T$3:$T$100, 0))</f>
        <v>840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387</v>
      </c>
      <c r="N5" s="326">
        <f t="array" ref="N5">INDIRECT("'" &amp; $E$82 &amp; "'!M5")</f>
        <v>39417</v>
      </c>
      <c r="P5" s="404">
        <v>46140.0</v>
      </c>
      <c r="Q5" s="132" t="s">
        <v>114</v>
      </c>
      <c r="R5" s="132" t="s">
        <v>126</v>
      </c>
      <c r="S5" s="132" t="s">
        <v>51</v>
      </c>
      <c r="T5" s="132">
        <v>1080.0</v>
      </c>
      <c r="U5" s="109"/>
      <c r="V5" s="136"/>
      <c r="W5" s="513"/>
      <c r="X5" s="514"/>
      <c r="Y5" s="433"/>
    </row>
    <row r="6">
      <c r="B6" s="317">
        <v>46138.0</v>
      </c>
      <c r="C6" s="108"/>
      <c r="D6" s="142">
        <v>10000.0</v>
      </c>
      <c r="E6" s="108" t="s">
        <v>136</v>
      </c>
      <c r="F6" s="174" t="s">
        <v>51</v>
      </c>
      <c r="H6" s="318" t="str">
        <f t="shared" si="1"/>
        <v>Tuesday</v>
      </c>
      <c r="I6" s="319">
        <v>46140.0</v>
      </c>
      <c r="J6" s="170">
        <f t="array" ref="J6">sum(IF(($P$3:$P$100=I6), $T$3:$T$100, 0))</f>
        <v>16080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9</v>
      </c>
      <c r="N6" s="326">
        <f t="array" ref="N6">INDIRECT("'" &amp; $E$82 &amp; "'!M6")</f>
        <v>50009</v>
      </c>
      <c r="P6" s="404">
        <v>46140.0</v>
      </c>
      <c r="Q6" s="132" t="s">
        <v>114</v>
      </c>
      <c r="R6" s="132" t="s">
        <v>133</v>
      </c>
      <c r="S6" s="132" t="s">
        <v>51</v>
      </c>
      <c r="T6" s="132">
        <v>800.0</v>
      </c>
      <c r="U6" s="109"/>
      <c r="V6" s="136"/>
      <c r="W6" s="547"/>
      <c r="X6" s="548"/>
      <c r="Y6" s="439"/>
    </row>
    <row r="7">
      <c r="B7" s="317">
        <v>46139.0</v>
      </c>
      <c r="C7" s="142"/>
      <c r="D7" s="142">
        <v>15000.0</v>
      </c>
      <c r="E7" s="108" t="s">
        <v>136</v>
      </c>
      <c r="F7" s="174" t="s">
        <v>51</v>
      </c>
      <c r="H7" s="318" t="str">
        <f t="shared" si="1"/>
        <v>Wednesday</v>
      </c>
      <c r="I7" s="319">
        <v>46141.0</v>
      </c>
      <c r="J7" s="170">
        <f t="array" ref="J7">sum(IF(($P$3:$P$100=I7), $T$3:$T$100, 0))</f>
        <v>800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 t="array" ref="N7">INDIRECT("'" &amp; $E$82 &amp; "'!M7")</f>
        <v>285</v>
      </c>
      <c r="P7" s="404">
        <v>46140.0</v>
      </c>
      <c r="Q7" s="132" t="s">
        <v>114</v>
      </c>
      <c r="R7" s="132" t="s">
        <v>118</v>
      </c>
      <c r="S7" s="132" t="s">
        <v>136</v>
      </c>
      <c r="T7" s="132">
        <v>1200.0</v>
      </c>
      <c r="U7" s="109"/>
      <c r="V7" s="136"/>
      <c r="W7" s="516"/>
      <c r="X7" s="517"/>
      <c r="Y7" s="433"/>
    </row>
    <row r="8">
      <c r="B8" s="317">
        <v>46139.0</v>
      </c>
      <c r="C8" s="108"/>
      <c r="D8" s="142">
        <v>1000.0</v>
      </c>
      <c r="E8" s="108" t="s">
        <v>136</v>
      </c>
      <c r="F8" s="174" t="s">
        <v>12</v>
      </c>
      <c r="H8" s="318" t="str">
        <f t="shared" si="1"/>
        <v>Thursday</v>
      </c>
      <c r="I8" s="319">
        <v>46142.0</v>
      </c>
      <c r="J8" s="170">
        <f t="array" ref="J8">sum(IF(($P$3:$P$100=I8), $T$3:$T$100, 0))</f>
        <v>2480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417</v>
      </c>
      <c r="N8" s="326">
        <f t="array" ref="N8">INDIRECT("'" &amp; $E$82 &amp; "'!M8")</f>
        <v>468</v>
      </c>
      <c r="P8" s="404">
        <v>46142.0</v>
      </c>
      <c r="Q8" s="132" t="s">
        <v>123</v>
      </c>
      <c r="R8" s="132" t="s">
        <v>145</v>
      </c>
      <c r="S8" s="132" t="s">
        <v>51</v>
      </c>
      <c r="T8" s="132">
        <v>800.0</v>
      </c>
      <c r="U8" s="109" t="s">
        <v>351</v>
      </c>
      <c r="V8" s="136"/>
      <c r="W8" s="515"/>
      <c r="X8" s="43"/>
      <c r="Y8" s="439"/>
    </row>
    <row r="9">
      <c r="B9" s="317">
        <v>46140.0</v>
      </c>
      <c r="C9" s="108">
        <v>2.0</v>
      </c>
      <c r="D9" s="108">
        <v>100.0</v>
      </c>
      <c r="E9" s="108" t="s">
        <v>12</v>
      </c>
      <c r="F9" s="174" t="s">
        <v>51</v>
      </c>
      <c r="H9" s="318" t="str">
        <f t="shared" si="1"/>
        <v>Friday</v>
      </c>
      <c r="I9" s="319">
        <v>46143.0</v>
      </c>
      <c r="J9" s="170">
        <f t="array" ref="J9">sum(IF(($P$3:$P$100=I9), $T$3:$T$100, 0))</f>
        <v>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 t="array" ref="N9">INDIRECT("'" &amp; $E$82 &amp; "'!M9")</f>
        <v>2</v>
      </c>
      <c r="P9" s="404">
        <v>46142.0</v>
      </c>
      <c r="Q9" s="132" t="s">
        <v>123</v>
      </c>
      <c r="R9" s="132" t="s">
        <v>145</v>
      </c>
      <c r="S9" s="132" t="s">
        <v>120</v>
      </c>
      <c r="T9" s="132">
        <f>1000+680</f>
        <v>1680</v>
      </c>
      <c r="U9" s="109" t="s">
        <v>352</v>
      </c>
      <c r="V9" s="136"/>
      <c r="W9" s="516"/>
      <c r="X9" s="517"/>
      <c r="Y9" s="433"/>
    </row>
    <row r="10">
      <c r="B10" s="317">
        <v>46147.0</v>
      </c>
      <c r="C10" s="142"/>
      <c r="D10" s="142">
        <v>2000.0</v>
      </c>
      <c r="E10" s="108" t="s">
        <v>136</v>
      </c>
      <c r="F10" s="174" t="s">
        <v>51</v>
      </c>
      <c r="H10" s="318" t="str">
        <f t="shared" si="1"/>
        <v>Saturday</v>
      </c>
      <c r="I10" s="319">
        <v>46144.0</v>
      </c>
      <c r="J10" s="170">
        <f t="array" ref="J10">sum(IF(($P$3:$P$100=I10), $T$3:$T$100, 0))</f>
        <v>10150</v>
      </c>
      <c r="L10" s="333" t="s">
        <v>137</v>
      </c>
      <c r="M10" s="374">
        <f>N10-10000</f>
        <v>0</v>
      </c>
      <c r="N10" s="326">
        <f t="array" ref="N10">INDIRECT("'" &amp; $E$82 &amp; "'!M10")</f>
        <v>10000</v>
      </c>
      <c r="P10" s="404">
        <v>46139.0</v>
      </c>
      <c r="Q10" s="132" t="s">
        <v>114</v>
      </c>
      <c r="R10" s="132" t="s">
        <v>130</v>
      </c>
      <c r="S10" s="132" t="s">
        <v>12</v>
      </c>
      <c r="T10" s="132">
        <v>840.0</v>
      </c>
      <c r="U10" s="109"/>
      <c r="V10" s="136"/>
      <c r="W10" s="515"/>
      <c r="X10" s="43"/>
      <c r="Y10" s="439"/>
    </row>
    <row r="11">
      <c r="B11" s="317">
        <v>46154.0</v>
      </c>
      <c r="C11" s="108"/>
      <c r="D11" s="142">
        <v>50000.0</v>
      </c>
      <c r="E11" s="108" t="s">
        <v>120</v>
      </c>
      <c r="F11" s="174" t="s">
        <v>128</v>
      </c>
      <c r="H11" s="318" t="str">
        <f t="shared" si="1"/>
        <v>Sunday</v>
      </c>
      <c r="I11" s="319">
        <v>46145.0</v>
      </c>
      <c r="J11" s="170">
        <f t="array" ref="J11">sum(IF(($P$3:$P$100=I11), $T$3:$T$100, 0))</f>
        <v>50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5500</v>
      </c>
      <c r="N11" s="326">
        <f t="array" ref="N11">INDIRECT("'" &amp; $E$82 &amp; "'!M11")</f>
        <v>5500</v>
      </c>
      <c r="P11" s="404">
        <v>46141.0</v>
      </c>
      <c r="Q11" s="132" t="s">
        <v>131</v>
      </c>
      <c r="R11" s="132" t="s">
        <v>131</v>
      </c>
      <c r="S11" s="132" t="s">
        <v>51</v>
      </c>
      <c r="T11" s="132">
        <v>800.0</v>
      </c>
      <c r="U11" s="109" t="s">
        <v>353</v>
      </c>
      <c r="V11" s="136"/>
      <c r="W11" s="516"/>
      <c r="X11" s="517"/>
      <c r="Y11" s="433"/>
    </row>
    <row r="12">
      <c r="B12" s="317">
        <v>46153.0</v>
      </c>
      <c r="C12" s="108"/>
      <c r="D12" s="142">
        <v>4000.0</v>
      </c>
      <c r="E12" s="108" t="s">
        <v>120</v>
      </c>
      <c r="F12" s="174" t="s">
        <v>136</v>
      </c>
      <c r="H12" s="318" t="str">
        <f t="shared" si="1"/>
        <v>Monday</v>
      </c>
      <c r="I12" s="319">
        <v>46146.0</v>
      </c>
      <c r="J12" s="170">
        <f t="array" ref="J12">sum(IF(($P$3:$P$100=I12), $T$3:$T$100, 0))</f>
        <v>0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1474</v>
      </c>
      <c r="N12" s="326">
        <f t="array" ref="N12">INDIRECT("'" &amp; $E$82 &amp; "'!M12")</f>
        <v>15884</v>
      </c>
      <c r="P12" s="404">
        <v>46144.0</v>
      </c>
      <c r="Q12" s="132" t="s">
        <v>131</v>
      </c>
      <c r="R12" s="132" t="s">
        <v>148</v>
      </c>
      <c r="S12" s="132" t="s">
        <v>51</v>
      </c>
      <c r="T12" s="132">
        <v>150.0</v>
      </c>
      <c r="U12" s="109"/>
      <c r="V12" s="136"/>
      <c r="W12" s="515"/>
      <c r="X12" s="43"/>
      <c r="Y12" s="439"/>
    </row>
    <row r="13">
      <c r="B13" s="317">
        <v>46153.0</v>
      </c>
      <c r="C13" s="108"/>
      <c r="D13" s="142">
        <v>2000.0</v>
      </c>
      <c r="E13" s="108" t="s">
        <v>136</v>
      </c>
      <c r="F13" s="174" t="s">
        <v>51</v>
      </c>
      <c r="H13" s="318" t="str">
        <f t="shared" si="1"/>
        <v>Tuesday</v>
      </c>
      <c r="I13" s="319">
        <v>46147.0</v>
      </c>
      <c r="J13" s="170">
        <f t="array" ref="J13">sum(IF(($P$3:$P$100=I13), $T$3:$T$100, 0))</f>
        <v>0</v>
      </c>
      <c r="L13" s="338"/>
      <c r="M13" s="339"/>
      <c r="N13" s="480" t="str">
        <f>'March 26'!M13</f>
        <v/>
      </c>
      <c r="P13" s="404">
        <v>46145.0</v>
      </c>
      <c r="Q13" s="132" t="s">
        <v>119</v>
      </c>
      <c r="R13" s="132" t="s">
        <v>142</v>
      </c>
      <c r="S13" s="132" t="s">
        <v>51</v>
      </c>
      <c r="T13" s="132">
        <v>50.0</v>
      </c>
      <c r="U13" s="109" t="s">
        <v>354</v>
      </c>
      <c r="V13" s="136"/>
      <c r="W13" s="516"/>
      <c r="X13" s="517"/>
      <c r="Y13" s="433"/>
    </row>
    <row r="14">
      <c r="B14" s="317">
        <v>46156.0</v>
      </c>
      <c r="C14" s="108"/>
      <c r="D14" s="142">
        <v>1000.0</v>
      </c>
      <c r="E14" s="108" t="s">
        <v>136</v>
      </c>
      <c r="F14" s="174" t="s">
        <v>12</v>
      </c>
      <c r="H14" s="318" t="str">
        <f t="shared" si="1"/>
        <v>Wednesday</v>
      </c>
      <c r="I14" s="319">
        <v>46148.0</v>
      </c>
      <c r="J14" s="170">
        <f t="array" ref="J14">sum(IF(($P$3:$P$100=I14), $T$3:$T$100, 0))</f>
        <v>1350</v>
      </c>
      <c r="P14" s="404">
        <v>46144.0</v>
      </c>
      <c r="Q14" s="132" t="s">
        <v>134</v>
      </c>
      <c r="R14" s="132" t="s">
        <v>121</v>
      </c>
      <c r="S14" s="132" t="s">
        <v>136</v>
      </c>
      <c r="T14" s="132">
        <v>10000.0</v>
      </c>
      <c r="U14" s="109"/>
      <c r="V14" s="136"/>
      <c r="W14" s="515"/>
      <c r="X14" s="43"/>
      <c r="Y14" s="439"/>
    </row>
    <row r="15">
      <c r="B15" s="317">
        <v>46159.0</v>
      </c>
      <c r="C15" s="108"/>
      <c r="D15" s="142">
        <v>4000.0</v>
      </c>
      <c r="E15" s="108" t="s">
        <v>120</v>
      </c>
      <c r="F15" s="174" t="s">
        <v>136</v>
      </c>
      <c r="H15" s="318" t="str">
        <f t="shared" si="1"/>
        <v>Thursday</v>
      </c>
      <c r="I15" s="319">
        <v>46149.0</v>
      </c>
      <c r="J15" s="170">
        <f t="array" ref="J15">sum(IF(($P$3:$P$100=I15), $T$3:$T$100, 0))</f>
        <v>600</v>
      </c>
      <c r="L15" s="137" t="s">
        <v>72</v>
      </c>
      <c r="M15" s="86"/>
      <c r="N15" s="138">
        <f>sum(M17:M22)</f>
        <v>5500</v>
      </c>
      <c r="P15" s="404">
        <v>46148.0</v>
      </c>
      <c r="Q15" s="132" t="s">
        <v>26</v>
      </c>
      <c r="R15" s="132" t="s">
        <v>26</v>
      </c>
      <c r="S15" s="132" t="s">
        <v>120</v>
      </c>
      <c r="T15" s="132">
        <v>1000.0</v>
      </c>
      <c r="U15" s="109" t="s">
        <v>355</v>
      </c>
      <c r="V15" s="136"/>
      <c r="W15" s="516"/>
      <c r="X15" s="517"/>
      <c r="Y15" s="433"/>
    </row>
    <row r="16">
      <c r="B16" s="317">
        <v>46159.0</v>
      </c>
      <c r="C16" s="142"/>
      <c r="D16" s="142">
        <v>5000.0</v>
      </c>
      <c r="E16" s="108" t="s">
        <v>136</v>
      </c>
      <c r="F16" s="174" t="s">
        <v>51</v>
      </c>
      <c r="H16" s="318" t="str">
        <f t="shared" si="1"/>
        <v>Friday</v>
      </c>
      <c r="I16" s="319">
        <v>46150.0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404">
        <v>46148.0</v>
      </c>
      <c r="Q16" s="132" t="s">
        <v>119</v>
      </c>
      <c r="R16" s="132" t="s">
        <v>142</v>
      </c>
      <c r="S16" s="132" t="s">
        <v>120</v>
      </c>
      <c r="T16" s="132">
        <v>350.0</v>
      </c>
      <c r="U16" s="109" t="s">
        <v>356</v>
      </c>
      <c r="V16" s="136"/>
      <c r="W16" s="515"/>
      <c r="X16" s="43"/>
      <c r="Y16" s="439"/>
    </row>
    <row r="17">
      <c r="B17" s="317"/>
      <c r="C17" s="108"/>
      <c r="D17" s="108"/>
      <c r="E17" s="108"/>
      <c r="F17" s="174"/>
      <c r="H17" s="318" t="str">
        <f t="shared" si="1"/>
        <v>Saturday</v>
      </c>
      <c r="I17" s="319">
        <v>46151.0</v>
      </c>
      <c r="J17" s="170">
        <f t="array" ref="J17">sum(IF(($P$3:$P$100=I17), $T$3:$T$100, 0))</f>
        <v>3305</v>
      </c>
      <c r="L17" s="143">
        <v>45774.0</v>
      </c>
      <c r="M17" s="132">
        <v>2500.0</v>
      </c>
      <c r="N17" s="103" t="s">
        <v>185</v>
      </c>
      <c r="P17" s="404">
        <v>46151.0</v>
      </c>
      <c r="Q17" s="132" t="s">
        <v>134</v>
      </c>
      <c r="R17" s="132" t="s">
        <v>116</v>
      </c>
      <c r="S17" s="132" t="s">
        <v>120</v>
      </c>
      <c r="T17" s="132">
        <v>2500.0</v>
      </c>
      <c r="U17" s="109"/>
      <c r="V17" s="136"/>
      <c r="W17" s="516"/>
      <c r="X17" s="517"/>
      <c r="Y17" s="433"/>
    </row>
    <row r="18">
      <c r="B18" s="317"/>
      <c r="C18" s="108"/>
      <c r="D18" s="108"/>
      <c r="E18" s="108"/>
      <c r="F18" s="174"/>
      <c r="H18" s="318" t="str">
        <f t="shared" si="1"/>
        <v>Sunday</v>
      </c>
      <c r="I18" s="319">
        <v>46152.0</v>
      </c>
      <c r="J18" s="170">
        <f t="array" ref="J18">sum(IF(($P$3:$P$100=I18), $T$3:$T$100, 0))</f>
        <v>560</v>
      </c>
      <c r="L18" s="143"/>
      <c r="M18" s="132">
        <v>3000.0</v>
      </c>
      <c r="N18" s="103" t="s">
        <v>187</v>
      </c>
      <c r="P18" s="404">
        <v>46149.0</v>
      </c>
      <c r="Q18" s="132" t="s">
        <v>131</v>
      </c>
      <c r="R18" s="132" t="s">
        <v>131</v>
      </c>
      <c r="S18" s="132" t="s">
        <v>51</v>
      </c>
      <c r="T18" s="132">
        <v>600.0</v>
      </c>
      <c r="U18" s="109" t="s">
        <v>357</v>
      </c>
      <c r="V18" s="136"/>
      <c r="W18" s="515"/>
      <c r="X18" s="43"/>
      <c r="Y18" s="439"/>
    </row>
    <row r="19">
      <c r="B19" s="317"/>
      <c r="C19" s="112"/>
      <c r="D19" s="108"/>
      <c r="E19" s="108"/>
      <c r="F19" s="174"/>
      <c r="H19" s="318" t="str">
        <f t="shared" si="1"/>
        <v>Monday</v>
      </c>
      <c r="I19" s="319">
        <v>46153.0</v>
      </c>
      <c r="J19" s="170">
        <f t="array" ref="J19">sum(IF(($P$3:$P$100=I19), $T$3:$T$100, 0))</f>
        <v>1280</v>
      </c>
      <c r="L19" s="148"/>
      <c r="M19" s="132"/>
      <c r="N19" s="103"/>
      <c r="P19" s="404">
        <v>46151.0</v>
      </c>
      <c r="Q19" s="132" t="s">
        <v>26</v>
      </c>
      <c r="R19" s="132" t="s">
        <v>26</v>
      </c>
      <c r="S19" s="132" t="s">
        <v>51</v>
      </c>
      <c r="T19" s="132">
        <v>50.0</v>
      </c>
      <c r="U19" s="109" t="s">
        <v>358</v>
      </c>
      <c r="V19" s="136"/>
      <c r="W19" s="516"/>
      <c r="X19" s="517"/>
      <c r="Y19" s="433"/>
    </row>
    <row r="20">
      <c r="B20" s="317"/>
      <c r="C20" s="142"/>
      <c r="D20" s="142"/>
      <c r="E20" s="108"/>
      <c r="F20" s="174"/>
      <c r="H20" s="318" t="str">
        <f t="shared" si="1"/>
        <v>Tuesday</v>
      </c>
      <c r="I20" s="319">
        <v>46154.0</v>
      </c>
      <c r="J20" s="170">
        <f t="array" ref="J20">sum(IF(($P$3:$P$100=I20), $T$3:$T$100, 0))</f>
        <v>100030</v>
      </c>
      <c r="L20" s="148"/>
      <c r="M20" s="132"/>
      <c r="N20" s="185"/>
      <c r="P20" s="404">
        <v>46151.0</v>
      </c>
      <c r="Q20" s="132" t="s">
        <v>131</v>
      </c>
      <c r="R20" s="132" t="s">
        <v>148</v>
      </c>
      <c r="S20" s="132" t="s">
        <v>51</v>
      </c>
      <c r="T20" s="132">
        <v>100.0</v>
      </c>
      <c r="U20" s="109"/>
      <c r="V20" s="136"/>
      <c r="W20" s="515"/>
      <c r="X20" s="43"/>
      <c r="Y20" s="439"/>
    </row>
    <row r="21">
      <c r="B21" s="317"/>
      <c r="C21" s="108"/>
      <c r="D21" s="108"/>
      <c r="E21" s="108"/>
      <c r="F21" s="174"/>
      <c r="H21" s="318" t="str">
        <f t="shared" si="1"/>
        <v>Wednesday</v>
      </c>
      <c r="I21" s="319">
        <v>46155.0</v>
      </c>
      <c r="J21" s="170">
        <f t="array" ref="J21">sum(IF(($P$3:$P$100=I21), $T$3:$T$100, 0))</f>
        <v>0</v>
      </c>
      <c r="L21" s="112"/>
      <c r="M21" s="102"/>
      <c r="N21" s="48"/>
      <c r="P21" s="404">
        <v>46151.0</v>
      </c>
      <c r="Q21" s="132" t="s">
        <v>131</v>
      </c>
      <c r="R21" s="132" t="s">
        <v>131</v>
      </c>
      <c r="S21" s="132" t="s">
        <v>51</v>
      </c>
      <c r="T21" s="132">
        <v>360.0</v>
      </c>
      <c r="U21" s="109" t="s">
        <v>202</v>
      </c>
      <c r="V21" s="136"/>
      <c r="W21" s="516"/>
      <c r="X21" s="517"/>
      <c r="Y21" s="433"/>
    </row>
    <row r="22">
      <c r="B22" s="317"/>
      <c r="C22" s="112"/>
      <c r="D22" s="108"/>
      <c r="E22" s="108"/>
      <c r="F22" s="174"/>
      <c r="H22" s="318" t="str">
        <f t="shared" si="1"/>
        <v>Thursday</v>
      </c>
      <c r="I22" s="319">
        <v>46156.0</v>
      </c>
      <c r="J22" s="170">
        <f t="array" ref="J22">sum(IF(($P$3:$P$100=I22), $T$3:$T$100, 0))</f>
        <v>430</v>
      </c>
      <c r="L22" s="127"/>
      <c r="M22" s="133"/>
      <c r="N22" s="68"/>
      <c r="P22" s="404">
        <v>46152.0</v>
      </c>
      <c r="Q22" s="132" t="s">
        <v>131</v>
      </c>
      <c r="R22" s="132" t="s">
        <v>131</v>
      </c>
      <c r="S22" s="132" t="s">
        <v>12</v>
      </c>
      <c r="T22" s="132">
        <v>505.0</v>
      </c>
      <c r="U22" s="109" t="s">
        <v>359</v>
      </c>
      <c r="V22" s="136"/>
      <c r="W22" s="515"/>
      <c r="X22" s="43"/>
      <c r="Y22" s="439"/>
    </row>
    <row r="23">
      <c r="B23" s="317"/>
      <c r="C23" s="108"/>
      <c r="D23" s="108"/>
      <c r="E23" s="108"/>
      <c r="F23" s="174"/>
      <c r="H23" s="318" t="str">
        <f t="shared" si="1"/>
        <v>Friday</v>
      </c>
      <c r="I23" s="319">
        <v>46157.0</v>
      </c>
      <c r="J23" s="170">
        <f t="array" ref="J23">sum(IF(($P$3:$P$100=I23), $T$3:$T$100, 0))</f>
        <v>814</v>
      </c>
      <c r="P23" s="404">
        <v>46152.0</v>
      </c>
      <c r="Q23" s="132" t="s">
        <v>131</v>
      </c>
      <c r="R23" s="132" t="s">
        <v>148</v>
      </c>
      <c r="S23" s="132" t="s">
        <v>51</v>
      </c>
      <c r="T23" s="132">
        <f>35+20</f>
        <v>55</v>
      </c>
      <c r="U23" s="109"/>
      <c r="V23" s="136"/>
      <c r="W23" s="522"/>
      <c r="X23" s="523"/>
      <c r="Y23" s="444"/>
    </row>
    <row r="24">
      <c r="B24" s="317"/>
      <c r="C24" s="108"/>
      <c r="D24" s="108"/>
      <c r="E24" s="108"/>
      <c r="F24" s="174"/>
      <c r="H24" s="318" t="str">
        <f t="shared" si="1"/>
        <v>Saturday</v>
      </c>
      <c r="I24" s="319">
        <v>46158.0</v>
      </c>
      <c r="J24" s="170">
        <f t="array" ref="J24">sum(IF(($P$3:$P$100=I24), $T$3:$T$100, 0))</f>
        <v>240</v>
      </c>
      <c r="L24" s="137" t="s">
        <v>84</v>
      </c>
      <c r="M24" s="86"/>
      <c r="N24" s="524">
        <f>sum(N26:N31)</f>
        <v>0</v>
      </c>
      <c r="P24" s="404">
        <v>46151.0</v>
      </c>
      <c r="Q24" s="132" t="s">
        <v>131</v>
      </c>
      <c r="R24" s="132" t="s">
        <v>131</v>
      </c>
      <c r="S24" s="132" t="s">
        <v>51</v>
      </c>
      <c r="T24" s="132">
        <v>240.0</v>
      </c>
      <c r="U24" s="109" t="s">
        <v>360</v>
      </c>
      <c r="V24" s="136"/>
    </row>
    <row r="25">
      <c r="B25" s="317"/>
      <c r="C25" s="112"/>
      <c r="D25" s="112"/>
      <c r="E25" s="108"/>
      <c r="F25" s="174"/>
      <c r="H25" s="318" t="str">
        <f t="shared" si="1"/>
        <v>Sunday</v>
      </c>
      <c r="I25" s="319">
        <v>46159.0</v>
      </c>
      <c r="J25" s="170">
        <f t="array" ref="J25">sum(IF(($P$3:$P$100=I25), $T$3:$T$100, 0))</f>
        <v>2415</v>
      </c>
      <c r="L25" s="139" t="s">
        <v>6</v>
      </c>
      <c r="M25" s="140" t="s">
        <v>85</v>
      </c>
      <c r="N25" s="141" t="s">
        <v>35</v>
      </c>
      <c r="P25" s="404">
        <v>46151.0</v>
      </c>
      <c r="Q25" s="132" t="s">
        <v>123</v>
      </c>
      <c r="R25" s="132" t="s">
        <v>145</v>
      </c>
      <c r="S25" s="132" t="s">
        <v>51</v>
      </c>
      <c r="T25" s="132">
        <v>55.0</v>
      </c>
      <c r="U25" s="109" t="s">
        <v>361</v>
      </c>
      <c r="V25" s="136"/>
    </row>
    <row r="26">
      <c r="B26" s="317"/>
      <c r="C26" s="112"/>
      <c r="D26" s="112"/>
      <c r="E26" s="108"/>
      <c r="F26" s="174"/>
      <c r="H26" s="318" t="str">
        <f t="shared" si="1"/>
        <v>Monday</v>
      </c>
      <c r="I26" s="319">
        <v>46160.0</v>
      </c>
      <c r="J26" s="170">
        <f t="array" ref="J26">sum(IF(($P$3:$P$100=I26), $T$3:$T$100, 0))</f>
        <v>0</v>
      </c>
      <c r="L26" s="526"/>
      <c r="M26" s="42"/>
      <c r="N26" s="185"/>
      <c r="P26" s="404">
        <v>46153.0</v>
      </c>
      <c r="Q26" s="132" t="s">
        <v>131</v>
      </c>
      <c r="R26" s="132" t="s">
        <v>131</v>
      </c>
      <c r="S26" s="132" t="s">
        <v>51</v>
      </c>
      <c r="T26" s="132">
        <f>960+20</f>
        <v>980</v>
      </c>
      <c r="U26" s="109" t="s">
        <v>362</v>
      </c>
      <c r="V26" s="136"/>
    </row>
    <row r="27">
      <c r="B27" s="317"/>
      <c r="C27" s="112"/>
      <c r="D27" s="112"/>
      <c r="E27" s="108"/>
      <c r="F27" s="174"/>
      <c r="H27" s="318" t="str">
        <f t="shared" si="1"/>
        <v>Tuesday</v>
      </c>
      <c r="I27" s="319">
        <v>46161.0</v>
      </c>
      <c r="J27" s="170">
        <f t="array" ref="J27">sum(IF(($P$3:$P$100=I27), $T$3:$T$100, 0))</f>
        <v>230</v>
      </c>
      <c r="L27" s="152"/>
      <c r="M27" s="47"/>
      <c r="N27" s="48"/>
      <c r="P27" s="404">
        <v>46153.0</v>
      </c>
      <c r="Q27" s="132" t="s">
        <v>131</v>
      </c>
      <c r="R27" s="132" t="s">
        <v>131</v>
      </c>
      <c r="S27" s="132" t="s">
        <v>136</v>
      </c>
      <c r="T27" s="132">
        <v>210.0</v>
      </c>
      <c r="U27" s="109"/>
      <c r="V27" s="136"/>
    </row>
    <row r="28">
      <c r="B28" s="317"/>
      <c r="C28" s="112"/>
      <c r="D28" s="112"/>
      <c r="E28" s="108"/>
      <c r="F28" s="174"/>
      <c r="H28" s="318" t="str">
        <f t="shared" si="1"/>
        <v>Wednesday</v>
      </c>
      <c r="I28" s="319">
        <v>46162.0</v>
      </c>
      <c r="J28" s="170">
        <f t="array" ref="J28">sum(IF(($P$3:$P$100=I28), $T$3:$T$100, 0))</f>
        <v>55</v>
      </c>
      <c r="L28" s="152"/>
      <c r="M28" s="47"/>
      <c r="N28" s="48"/>
      <c r="P28" s="404">
        <v>46153.0</v>
      </c>
      <c r="Q28" s="132" t="s">
        <v>131</v>
      </c>
      <c r="R28" s="132" t="s">
        <v>23</v>
      </c>
      <c r="S28" s="132" t="s">
        <v>51</v>
      </c>
      <c r="T28" s="132">
        <v>10.0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Thursday</v>
      </c>
      <c r="I29" s="319">
        <v>46163.0</v>
      </c>
      <c r="J29" s="170">
        <f t="array" ref="J29">sum(IF(($P$3:$P$100=I29), $T$3:$T$100, 0))</f>
        <v>900</v>
      </c>
      <c r="L29" s="152"/>
      <c r="M29" s="47"/>
      <c r="N29" s="48"/>
      <c r="P29" s="404">
        <v>46154.0</v>
      </c>
      <c r="Q29" s="132" t="s">
        <v>131</v>
      </c>
      <c r="R29" s="132" t="s">
        <v>148</v>
      </c>
      <c r="S29" s="132" t="s">
        <v>51</v>
      </c>
      <c r="T29" s="132">
        <f>30</f>
        <v>30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Friday</v>
      </c>
      <c r="I30" s="319">
        <v>46164.0</v>
      </c>
      <c r="J30" s="170">
        <f t="array" ref="J30">sum(IF(($P$3:$P$100=I30), $T$3:$T$100, 0))</f>
        <v>0</v>
      </c>
      <c r="L30" s="152"/>
      <c r="M30" s="47"/>
      <c r="N30" s="48"/>
      <c r="P30" s="404">
        <v>46153.0</v>
      </c>
      <c r="Q30" s="132" t="s">
        <v>26</v>
      </c>
      <c r="R30" s="132" t="s">
        <v>26</v>
      </c>
      <c r="S30" s="132" t="s">
        <v>51</v>
      </c>
      <c r="T30" s="132">
        <f>20+20+20+20</f>
        <v>80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Saturday</v>
      </c>
      <c r="I31" s="319">
        <v>46165.0</v>
      </c>
      <c r="J31" s="170">
        <f t="array" ref="J31">sum(IF(($P$3:$P$100=I31), $T$3:$T$100, 0))</f>
        <v>0</v>
      </c>
      <c r="L31" s="153"/>
      <c r="M31" s="154"/>
      <c r="N31" s="68"/>
      <c r="P31" s="404">
        <v>46154.0</v>
      </c>
      <c r="Q31" s="132" t="s">
        <v>134</v>
      </c>
      <c r="R31" s="132" t="s">
        <v>129</v>
      </c>
      <c r="S31" s="132" t="s">
        <v>124</v>
      </c>
      <c r="T31" s="132">
        <v>50000.0</v>
      </c>
      <c r="U31" s="109"/>
      <c r="V31" s="136"/>
    </row>
    <row r="32">
      <c r="B32" s="317"/>
      <c r="C32" s="108"/>
      <c r="D32" s="108"/>
      <c r="E32" s="108"/>
      <c r="F32" s="174"/>
      <c r="H32" s="318" t="str">
        <f t="shared" si="1"/>
        <v>Sunday</v>
      </c>
      <c r="I32" s="319">
        <v>46166.0</v>
      </c>
      <c r="J32" s="170">
        <f t="array" ref="J32">sum(IF(($P$3:$P$100=I32), $T$3:$T$100, 0))</f>
        <v>0</v>
      </c>
      <c r="P32" s="404">
        <v>46154.0</v>
      </c>
      <c r="Q32" s="132" t="s">
        <v>134</v>
      </c>
      <c r="R32" s="132" t="s">
        <v>132</v>
      </c>
      <c r="S32" s="132" t="s">
        <v>128</v>
      </c>
      <c r="T32" s="132">
        <v>50000.0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Monday</v>
      </c>
      <c r="I33" s="319">
        <v>46167.0</v>
      </c>
      <c r="J33" s="170">
        <f t="array" ref="J33">sum(IF(($P$3:$P$100=I33), $T$3:$T$100, 0))</f>
        <v>0</v>
      </c>
      <c r="L33" s="137" t="s">
        <v>134</v>
      </c>
      <c r="M33" s="86"/>
      <c r="N33" s="138">
        <f>sum(M35:M39)</f>
        <v>152500</v>
      </c>
      <c r="P33" s="404">
        <v>46156.0</v>
      </c>
      <c r="Q33" s="132" t="s">
        <v>119</v>
      </c>
      <c r="R33" s="132" t="s">
        <v>138</v>
      </c>
      <c r="S33" s="132" t="s">
        <v>51</v>
      </c>
      <c r="T33" s="132">
        <v>300.0</v>
      </c>
      <c r="U33" s="109" t="s">
        <v>363</v>
      </c>
      <c r="V33" s="136"/>
    </row>
    <row r="34">
      <c r="B34" s="317"/>
      <c r="C34" s="112"/>
      <c r="D34" s="112"/>
      <c r="E34" s="108"/>
      <c r="F34" s="174"/>
      <c r="H34" s="318" t="str">
        <f t="shared" si="1"/>
        <v>Tuesday</v>
      </c>
      <c r="I34" s="319">
        <v>46168.0</v>
      </c>
      <c r="J34" s="170">
        <f t="array" ref="J34">sum(IF(($P$3:$P$100=I34), $T$3:$T$100, 0))</f>
        <v>0</v>
      </c>
      <c r="L34" s="565" t="s">
        <v>39</v>
      </c>
      <c r="M34" s="566" t="s">
        <v>243</v>
      </c>
      <c r="N34" s="567" t="s">
        <v>244</v>
      </c>
      <c r="P34" s="404">
        <v>46156.0</v>
      </c>
      <c r="Q34" s="132" t="s">
        <v>26</v>
      </c>
      <c r="R34" s="132" t="s">
        <v>26</v>
      </c>
      <c r="S34" s="132" t="s">
        <v>51</v>
      </c>
      <c r="T34" s="132">
        <v>40.0</v>
      </c>
      <c r="U34" s="109"/>
      <c r="V34" s="136"/>
    </row>
    <row r="35">
      <c r="B35" s="317"/>
      <c r="C35" s="112"/>
      <c r="D35" s="112"/>
      <c r="E35" s="108"/>
      <c r="F35" s="174"/>
      <c r="H35" s="568" t="str">
        <f t="shared" si="1"/>
        <v>Wednesday</v>
      </c>
      <c r="I35" s="569">
        <v>46169.0</v>
      </c>
      <c r="J35" s="170">
        <f t="array" ref="J35">sum(IF(($P$3:$P$100=I35), $T$3:$T$100, 0))</f>
        <v>0</v>
      </c>
      <c r="L35" s="570" t="str">
        <f t="array" ref="L35:L39">INDIRECT("SavingsAcc")</f>
        <v>EximBank_2.5</v>
      </c>
      <c r="M35" s="571">
        <f t="array" ref="M35">N35+sum(IF(($R$3:$R$100=L35), $T$3:$T$100, 0))</f>
        <v>42500</v>
      </c>
      <c r="N35" s="572">
        <f t="array" ref="N35">INDIRECT("'" &amp; $E$82 &amp; "'!M35")</f>
        <v>40000</v>
      </c>
      <c r="P35" s="404">
        <v>46157.0</v>
      </c>
      <c r="Q35" s="132" t="s">
        <v>123</v>
      </c>
      <c r="R35" s="132" t="s">
        <v>145</v>
      </c>
      <c r="S35" s="132" t="s">
        <v>51</v>
      </c>
      <c r="T35" s="132">
        <v>400.0</v>
      </c>
      <c r="U35" s="109" t="s">
        <v>364</v>
      </c>
      <c r="V35" s="136"/>
    </row>
    <row r="36">
      <c r="B36" s="317"/>
      <c r="C36" s="112"/>
      <c r="D36" s="112"/>
      <c r="E36" s="108"/>
      <c r="F36" s="174"/>
      <c r="H36" s="573"/>
      <c r="I36" s="574"/>
      <c r="J36" s="575">
        <f t="array" ref="J36">sum(IF(($P$3:$P$100=I36), $T$3:$T$100, 0))</f>
        <v>0</v>
      </c>
      <c r="L36" s="576" t="s">
        <v>121</v>
      </c>
      <c r="M36" s="316">
        <f t="array" ref="M36">N36+sum(IF(($R$3:$R$100=L36), $T$3:$T$100, 0))</f>
        <v>10000</v>
      </c>
      <c r="N36" s="341">
        <f t="array" ref="N36">INDIRECT("'" &amp; $E$82 &amp; "'!M36")</f>
        <v>0</v>
      </c>
      <c r="P36" s="404">
        <v>46156.0</v>
      </c>
      <c r="Q36" s="132" t="s">
        <v>131</v>
      </c>
      <c r="R36" s="132" t="s">
        <v>148</v>
      </c>
      <c r="S36" s="132" t="s">
        <v>51</v>
      </c>
      <c r="T36" s="132">
        <v>60.0</v>
      </c>
      <c r="U36" s="109"/>
      <c r="V36" s="136"/>
    </row>
    <row r="37">
      <c r="B37" s="317"/>
      <c r="C37" s="112"/>
      <c r="D37" s="112"/>
      <c r="E37" s="108"/>
      <c r="F37" s="174"/>
      <c r="H37" s="342"/>
      <c r="I37" s="155"/>
      <c r="J37" s="174"/>
      <c r="L37" s="577" t="s">
        <v>125</v>
      </c>
      <c r="M37" s="316">
        <f t="array" ref="M37">N37+sum(IF(($R$3:$R$100=L37), $T$3:$T$100, 0))</f>
        <v>0</v>
      </c>
      <c r="N37" s="341"/>
      <c r="P37" s="404">
        <v>46156.0</v>
      </c>
      <c r="Q37" s="132" t="s">
        <v>127</v>
      </c>
      <c r="R37" s="132" t="s">
        <v>146</v>
      </c>
      <c r="S37" s="132" t="s">
        <v>12</v>
      </c>
      <c r="T37" s="132">
        <v>30.0</v>
      </c>
      <c r="U37" s="109"/>
      <c r="V37" s="136"/>
    </row>
    <row r="38">
      <c r="B38" s="317"/>
      <c r="C38" s="112"/>
      <c r="D38" s="112"/>
      <c r="E38" s="108"/>
      <c r="F38" s="174"/>
      <c r="H38" s="342"/>
      <c r="I38" s="155"/>
      <c r="J38" s="174"/>
      <c r="L38" s="577" t="s">
        <v>129</v>
      </c>
      <c r="M38" s="578">
        <f t="array" ref="M38">N38+sum(IF(($R$3:$R$100=L38), $T$3:$T$100, 0))</f>
        <v>50000</v>
      </c>
      <c r="N38" s="345"/>
      <c r="P38" s="404">
        <v>46157.0</v>
      </c>
      <c r="Q38" s="132" t="s">
        <v>114</v>
      </c>
      <c r="R38" s="132" t="s">
        <v>122</v>
      </c>
      <c r="S38" s="132" t="s">
        <v>12</v>
      </c>
      <c r="T38" s="132">
        <v>414.0</v>
      </c>
      <c r="U38" s="481"/>
      <c r="V38" s="136"/>
    </row>
    <row r="39">
      <c r="B39" s="191"/>
      <c r="C39" s="127"/>
      <c r="D39" s="123"/>
      <c r="E39" s="123"/>
      <c r="F39" s="192"/>
      <c r="H39" s="346"/>
      <c r="I39" s="156"/>
      <c r="J39" s="192"/>
      <c r="L39" s="579" t="s">
        <v>132</v>
      </c>
      <c r="M39" s="580">
        <f t="array" ref="M39">N39+sum(IF(($R$3:$R$100=L39), $T$3:$T$100, 0))</f>
        <v>50000</v>
      </c>
      <c r="N39" s="128"/>
      <c r="P39" s="404">
        <v>46158.0</v>
      </c>
      <c r="Q39" s="132" t="s">
        <v>123</v>
      </c>
      <c r="R39" s="132" t="s">
        <v>145</v>
      </c>
      <c r="S39" s="132" t="s">
        <v>51</v>
      </c>
      <c r="T39" s="132">
        <f>50+30+30</f>
        <v>110</v>
      </c>
      <c r="U39" s="109" t="s">
        <v>365</v>
      </c>
      <c r="V39" s="136"/>
    </row>
    <row r="40">
      <c r="P40" s="404">
        <v>46158.0</v>
      </c>
      <c r="Q40" s="132" t="s">
        <v>119</v>
      </c>
      <c r="R40" s="132" t="s">
        <v>142</v>
      </c>
      <c r="S40" s="132" t="s">
        <v>51</v>
      </c>
      <c r="T40" s="132">
        <f>10+20+20+20</f>
        <v>70</v>
      </c>
      <c r="U40" s="481" t="s">
        <v>366</v>
      </c>
      <c r="V40" s="136"/>
    </row>
    <row r="41">
      <c r="P41" s="404">
        <v>46159.0</v>
      </c>
      <c r="Q41" s="132" t="s">
        <v>119</v>
      </c>
      <c r="R41" s="132" t="s">
        <v>142</v>
      </c>
      <c r="S41" s="132" t="s">
        <v>51</v>
      </c>
      <c r="T41" s="132">
        <f>60+30</f>
        <v>90</v>
      </c>
      <c r="U41" s="109" t="s">
        <v>367</v>
      </c>
      <c r="V41" s="136"/>
    </row>
    <row r="42">
      <c r="B42" s="409" t="s">
        <v>173</v>
      </c>
      <c r="C42" s="410"/>
      <c r="D42" s="410"/>
      <c r="E42" s="410"/>
      <c r="F42" s="410"/>
      <c r="G42" s="410"/>
      <c r="H42" s="411"/>
      <c r="I42" s="527"/>
      <c r="J42" s="409"/>
      <c r="K42" s="411"/>
      <c r="L42" s="412"/>
      <c r="M42" s="557" t="s">
        <v>348</v>
      </c>
      <c r="P42" s="404">
        <v>46159.0</v>
      </c>
      <c r="Q42" s="132" t="s">
        <v>119</v>
      </c>
      <c r="R42" s="132" t="s">
        <v>145</v>
      </c>
      <c r="S42" s="132" t="s">
        <v>51</v>
      </c>
      <c r="T42" s="132">
        <f>800+630</f>
        <v>1430</v>
      </c>
      <c r="U42" s="109" t="s">
        <v>368</v>
      </c>
      <c r="V42" s="136"/>
    </row>
    <row r="43">
      <c r="B43" s="413"/>
      <c r="C43" s="414"/>
      <c r="D43" s="414"/>
      <c r="E43" s="414"/>
      <c r="F43" s="414"/>
      <c r="G43" s="414"/>
      <c r="H43" s="415"/>
      <c r="I43" s="51"/>
      <c r="J43" s="413"/>
      <c r="K43" s="415"/>
      <c r="L43" s="51"/>
      <c r="M43" s="51"/>
      <c r="P43" s="404">
        <v>46159.0</v>
      </c>
      <c r="Q43" s="132" t="s">
        <v>123</v>
      </c>
      <c r="R43" s="132" t="s">
        <v>123</v>
      </c>
      <c r="S43" s="132" t="s">
        <v>51</v>
      </c>
      <c r="T43" s="132">
        <f>725+20</f>
        <v>745</v>
      </c>
      <c r="U43" s="109" t="s">
        <v>369</v>
      </c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483" t="s">
        <v>43</v>
      </c>
      <c r="J44" s="485" t="s">
        <v>4</v>
      </c>
      <c r="K44" s="418"/>
      <c r="L44" s="486" t="s">
        <v>206</v>
      </c>
      <c r="M44" s="486" t="s">
        <v>349</v>
      </c>
      <c r="P44" s="404">
        <v>46159.0</v>
      </c>
      <c r="Q44" s="132" t="s">
        <v>26</v>
      </c>
      <c r="R44" s="132" t="s">
        <v>26</v>
      </c>
      <c r="S44" s="132" t="s">
        <v>51</v>
      </c>
      <c r="T44" s="132">
        <f>100+50</f>
        <v>150</v>
      </c>
      <c r="U44" s="109"/>
      <c r="V44" s="136"/>
    </row>
    <row r="45">
      <c r="B45" s="423" t="s">
        <v>114</v>
      </c>
      <c r="C45" s="424"/>
      <c r="D45" s="425"/>
      <c r="E45" s="426">
        <f>Sum(I45:I50)</f>
        <v>17320</v>
      </c>
      <c r="F45" s="427" t="str">
        <f t="array" ref="F45:F73">INDIRECT("Subcategory")</f>
        <v>HouseRent</v>
      </c>
      <c r="G45" s="424"/>
      <c r="H45" s="425"/>
      <c r="I45" s="428">
        <v>13000.0</v>
      </c>
      <c r="J45" s="429">
        <f t="array" ref="J45">sum(IF(($R$3:$R$100=F45), $T$3:$T$100, 0))</f>
        <v>13000</v>
      </c>
      <c r="K45" s="430"/>
      <c r="L45" s="431">
        <f>sum(J45:J50)</f>
        <v>17334</v>
      </c>
      <c r="M45" s="560"/>
      <c r="P45" s="404">
        <v>46162.0</v>
      </c>
      <c r="Q45" s="132" t="s">
        <v>123</v>
      </c>
      <c r="R45" s="132" t="s">
        <v>145</v>
      </c>
      <c r="S45" s="132" t="s">
        <v>51</v>
      </c>
      <c r="T45" s="132">
        <v>55.0</v>
      </c>
      <c r="U45" s="109" t="s">
        <v>370</v>
      </c>
      <c r="V45" s="136"/>
    </row>
    <row r="46">
      <c r="B46" s="432"/>
      <c r="D46" s="433"/>
      <c r="E46" s="434"/>
      <c r="F46" s="435" t="s">
        <v>118</v>
      </c>
      <c r="H46" s="433"/>
      <c r="I46" s="436">
        <v>1200.0</v>
      </c>
      <c r="J46" s="437">
        <f t="array" ref="J46">sum(IF(($R$3:$R$100=F46), $T$3:$T$100, 0))</f>
        <v>1200</v>
      </c>
      <c r="K46" s="418"/>
      <c r="L46" s="434"/>
      <c r="M46" s="559" t="str">
        <f>DATESTATUS(E84,F84)</f>
        <v>Expired</v>
      </c>
      <c r="P46" s="404">
        <v>46163.0</v>
      </c>
      <c r="Q46" s="132" t="s">
        <v>26</v>
      </c>
      <c r="R46" s="132" t="s">
        <v>26</v>
      </c>
      <c r="S46" s="132" t="s">
        <v>51</v>
      </c>
      <c r="T46" s="132">
        <v>700.0</v>
      </c>
      <c r="U46" s="109" t="s">
        <v>371</v>
      </c>
      <c r="V46" s="136"/>
    </row>
    <row r="47">
      <c r="B47" s="438"/>
      <c r="D47" s="439"/>
      <c r="E47" s="37"/>
      <c r="F47" s="440" t="s">
        <v>122</v>
      </c>
      <c r="H47" s="439"/>
      <c r="I47" s="441">
        <v>400.0</v>
      </c>
      <c r="J47" s="429">
        <f t="array" ref="J47">sum(IF(($R$3:$R$100=F47), $T$3:$T$100, 0))</f>
        <v>414</v>
      </c>
      <c r="K47" s="430"/>
      <c r="L47" s="37"/>
      <c r="M47" s="560" t="str">
        <f>DATESTATUS(E83,F83)</f>
        <v>Expired</v>
      </c>
      <c r="P47" s="404">
        <v>46161.0</v>
      </c>
      <c r="Q47" s="132" t="s">
        <v>119</v>
      </c>
      <c r="R47" s="132" t="s">
        <v>142</v>
      </c>
      <c r="S47" s="132" t="s">
        <v>51</v>
      </c>
      <c r="T47" s="132">
        <v>130.0</v>
      </c>
      <c r="U47" s="109" t="s">
        <v>372</v>
      </c>
      <c r="V47" s="136"/>
    </row>
    <row r="48">
      <c r="B48" s="432"/>
      <c r="D48" s="433"/>
      <c r="E48" s="434"/>
      <c r="F48" s="435" t="s">
        <v>126</v>
      </c>
      <c r="H48" s="433"/>
      <c r="I48" s="419">
        <v>1080.0</v>
      </c>
      <c r="J48" s="437">
        <f t="array" ref="J48">sum(IF(($R$3:$R$100=F48), $T$3:$T$100, 0))</f>
        <v>1080</v>
      </c>
      <c r="K48" s="418"/>
      <c r="L48" s="434"/>
      <c r="M48" s="559"/>
      <c r="P48" s="404">
        <v>46163.0</v>
      </c>
      <c r="Q48" s="132" t="s">
        <v>131</v>
      </c>
      <c r="R48" s="132" t="s">
        <v>23</v>
      </c>
      <c r="S48" s="132" t="s">
        <v>51</v>
      </c>
      <c r="T48" s="132">
        <v>30.0</v>
      </c>
      <c r="U48" s="109"/>
      <c r="V48" s="136"/>
    </row>
    <row r="49">
      <c r="B49" s="438"/>
      <c r="D49" s="439"/>
      <c r="E49" s="37"/>
      <c r="F49" s="440" t="s">
        <v>130</v>
      </c>
      <c r="H49" s="439"/>
      <c r="I49" s="441">
        <v>840.0</v>
      </c>
      <c r="J49" s="429">
        <f t="array" ref="J49">sum(IF(($R$3:$R$100=F49), $T$3:$T$100, 0))</f>
        <v>840</v>
      </c>
      <c r="K49" s="430"/>
      <c r="L49" s="37"/>
      <c r="M49" s="560" t="str">
        <f>DATESTATUS(E85,F85)</f>
        <v>Expired</v>
      </c>
      <c r="P49" s="404">
        <v>46163.0</v>
      </c>
      <c r="Q49" s="132" t="s">
        <v>131</v>
      </c>
      <c r="R49" s="132" t="s">
        <v>148</v>
      </c>
      <c r="S49" s="132" t="s">
        <v>51</v>
      </c>
      <c r="T49" s="132">
        <v>170.0</v>
      </c>
      <c r="U49" s="109"/>
      <c r="V49" s="136"/>
    </row>
    <row r="50">
      <c r="B50" s="442"/>
      <c r="C50" s="443"/>
      <c r="D50" s="444"/>
      <c r="E50" s="445"/>
      <c r="F50" s="446" t="s">
        <v>133</v>
      </c>
      <c r="G50" s="443"/>
      <c r="H50" s="444"/>
      <c r="I50" s="419">
        <v>800.0</v>
      </c>
      <c r="J50" s="437">
        <f t="array" ref="J50">sum(IF(($R$3:$R$100=F50), $T$3:$T$100, 0))</f>
        <v>800</v>
      </c>
      <c r="K50" s="418"/>
      <c r="L50" s="445"/>
      <c r="M50" s="559"/>
      <c r="P50" s="404">
        <v>46161.0</v>
      </c>
      <c r="Q50" s="132" t="s">
        <v>127</v>
      </c>
      <c r="R50" s="132" t="s">
        <v>147</v>
      </c>
      <c r="S50" s="132" t="s">
        <v>12</v>
      </c>
      <c r="T50" s="132">
        <f>50+50</f>
        <v>100</v>
      </c>
      <c r="U50" s="109"/>
      <c r="V50" s="136"/>
    </row>
    <row r="51">
      <c r="B51" s="447" t="s">
        <v>119</v>
      </c>
      <c r="C51" s="424"/>
      <c r="D51" s="425"/>
      <c r="E51" s="431">
        <f>Sum(I51:I54)</f>
        <v>11500</v>
      </c>
      <c r="F51" s="448" t="s">
        <v>135</v>
      </c>
      <c r="G51" s="424"/>
      <c r="H51" s="425"/>
      <c r="I51" s="449"/>
      <c r="J51" s="450">
        <f t="array" ref="J51">sum(IF(($R$3:$R$100=F51), $T$3:$T$100, 0))</f>
        <v>0</v>
      </c>
      <c r="K51" s="430"/>
      <c r="L51" s="431">
        <f>sum(J51:J54)</f>
        <v>11110</v>
      </c>
      <c r="M51" s="560"/>
      <c r="P51" s="404">
        <v>46158.0</v>
      </c>
      <c r="Q51" s="132" t="s">
        <v>127</v>
      </c>
      <c r="R51" s="132" t="s">
        <v>146</v>
      </c>
      <c r="S51" s="132" t="s">
        <v>12</v>
      </c>
      <c r="T51" s="132">
        <f>30+30</f>
        <v>60</v>
      </c>
      <c r="U51" s="109"/>
      <c r="V51" s="136"/>
    </row>
    <row r="52">
      <c r="B52" s="432"/>
      <c r="D52" s="433"/>
      <c r="E52" s="434"/>
      <c r="F52" s="451" t="s">
        <v>138</v>
      </c>
      <c r="H52" s="433"/>
      <c r="I52" s="452">
        <v>500.0</v>
      </c>
      <c r="J52" s="453">
        <f t="array" ref="J52">sum(IF(($R$3:$R$100=F52), $T$3:$T$100, 0))</f>
        <v>300</v>
      </c>
      <c r="K52" s="418"/>
      <c r="L52" s="434"/>
      <c r="M52" s="559"/>
      <c r="P52" s="404"/>
      <c r="Q52" s="132"/>
      <c r="R52" s="132"/>
      <c r="S52" s="132"/>
      <c r="T52" s="132"/>
      <c r="U52" s="113"/>
      <c r="V52" s="136"/>
    </row>
    <row r="53">
      <c r="B53" s="438"/>
      <c r="D53" s="439"/>
      <c r="E53" s="37"/>
      <c r="F53" s="454" t="s">
        <v>141</v>
      </c>
      <c r="H53" s="439"/>
      <c r="I53" s="449">
        <v>10000.0</v>
      </c>
      <c r="J53" s="450">
        <f t="array" ref="J53">sum(IF(($R$3:$R$100=F53), $T$3:$T$100, 0))</f>
        <v>10120</v>
      </c>
      <c r="K53" s="430"/>
      <c r="L53" s="37"/>
      <c r="M53" s="560"/>
      <c r="P53" s="404"/>
      <c r="Q53" s="132"/>
      <c r="R53" s="132"/>
      <c r="S53" s="132"/>
      <c r="T53" s="132"/>
      <c r="U53" s="109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452">
        <v>1000.0</v>
      </c>
      <c r="J54" s="453">
        <f t="array" ref="J54">sum(IF(($R$3:$R$100=F54), $T$3:$T$100, 0))</f>
        <v>690</v>
      </c>
      <c r="K54" s="418"/>
      <c r="L54" s="445"/>
      <c r="M54" s="559"/>
      <c r="P54" s="404"/>
      <c r="Q54" s="132"/>
      <c r="R54" s="132"/>
      <c r="S54" s="132"/>
      <c r="T54" s="132"/>
      <c r="U54" s="109"/>
      <c r="V54" s="136"/>
    </row>
    <row r="55">
      <c r="B55" s="447" t="s">
        <v>123</v>
      </c>
      <c r="C55" s="424"/>
      <c r="D55" s="425"/>
      <c r="E55" s="431">
        <f>sum(I55:I57)</f>
        <v>2500</v>
      </c>
      <c r="F55" s="448" t="s">
        <v>123</v>
      </c>
      <c r="G55" s="424"/>
      <c r="H55" s="425"/>
      <c r="I55" s="456">
        <v>0.0</v>
      </c>
      <c r="J55" s="450">
        <f t="array" ref="J55">sum(IF(($R$3:$R$100=F55), $T$3:$T$100, 0))</f>
        <v>745</v>
      </c>
      <c r="K55" s="430"/>
      <c r="L55" s="431">
        <f>sum(J55:J58)</f>
        <v>5365</v>
      </c>
      <c r="M55" s="560"/>
      <c r="P55" s="404"/>
      <c r="Q55" s="132"/>
      <c r="R55" s="132"/>
      <c r="S55" s="132"/>
      <c r="T55" s="132"/>
      <c r="U55" s="109"/>
      <c r="V55" s="136"/>
    </row>
    <row r="56">
      <c r="B56" s="432"/>
      <c r="D56" s="433"/>
      <c r="E56" s="434"/>
      <c r="F56" s="451" t="s">
        <v>144</v>
      </c>
      <c r="H56" s="433"/>
      <c r="I56" s="452">
        <v>0.0</v>
      </c>
      <c r="J56" s="453">
        <f t="array" ref="J56">sum(IF(($R$3:$R$100=F56), $T$3:$T$100, 0))</f>
        <v>0</v>
      </c>
      <c r="K56" s="418"/>
      <c r="L56" s="434"/>
      <c r="M56" s="559"/>
      <c r="P56" s="404"/>
      <c r="Q56" s="132"/>
      <c r="R56" s="132"/>
      <c r="S56" s="132"/>
      <c r="T56" s="132"/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449">
        <v>2500.0</v>
      </c>
      <c r="J57" s="450">
        <f t="array" ref="J57">sum(IF(($R$3:$R$100=F57), $T$3:$T$100, 0))</f>
        <v>4530</v>
      </c>
      <c r="K57" s="430"/>
      <c r="L57" s="51"/>
      <c r="M57" s="560"/>
      <c r="P57" s="404"/>
      <c r="Q57" s="132"/>
      <c r="R57" s="132"/>
      <c r="S57" s="132"/>
      <c r="T57" s="132"/>
      <c r="U57" s="113"/>
      <c r="V57" s="136"/>
    </row>
    <row r="58">
      <c r="B58" s="458" t="s">
        <v>127</v>
      </c>
      <c r="C58" s="459"/>
      <c r="D58" s="460"/>
      <c r="E58" s="461">
        <f>I58+I59</f>
        <v>500</v>
      </c>
      <c r="F58" s="462" t="s">
        <v>146</v>
      </c>
      <c r="G58" s="459"/>
      <c r="H58" s="460"/>
      <c r="I58" s="436">
        <v>100.0</v>
      </c>
      <c r="J58" s="453">
        <f t="array" ref="J58">sum(IF(($R$3:$R$100=F58), $T$3:$T$100, 0))</f>
        <v>90</v>
      </c>
      <c r="K58" s="418"/>
      <c r="L58" s="464">
        <f>J58+J59</f>
        <v>190</v>
      </c>
      <c r="M58" s="559"/>
      <c r="P58" s="404"/>
      <c r="Q58" s="132"/>
      <c r="R58" s="132"/>
      <c r="S58" s="132"/>
      <c r="T58" s="132"/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441">
        <v>400.0</v>
      </c>
      <c r="J59" s="450">
        <f t="array" ref="J59">sum(IF(($R$3:$R$100=F59), $T$3:$T$100, 0))</f>
        <v>100</v>
      </c>
      <c r="K59" s="430"/>
      <c r="L59" s="51"/>
      <c r="M59" s="560"/>
      <c r="P59" s="404"/>
      <c r="Q59" s="132"/>
      <c r="R59" s="132"/>
      <c r="S59" s="132"/>
      <c r="T59" s="132"/>
      <c r="U59" s="113"/>
      <c r="V59" s="136"/>
    </row>
    <row r="60">
      <c r="B60" s="458" t="s">
        <v>131</v>
      </c>
      <c r="C60" s="459"/>
      <c r="D60" s="460"/>
      <c r="E60" s="467">
        <f>I60+I61+I62+I63+I64</f>
        <v>3500</v>
      </c>
      <c r="F60" s="462" t="s">
        <v>148</v>
      </c>
      <c r="G60" s="459"/>
      <c r="H60" s="460"/>
      <c r="I60" s="487">
        <v>300.0</v>
      </c>
      <c r="J60" s="453">
        <f t="array" ref="J60">sum(IF(($R$3:$R$100=F60), $T$3:$T$100, 0))</f>
        <v>565</v>
      </c>
      <c r="K60" s="418"/>
      <c r="L60" s="464">
        <f>J60+J61+J62+J63+J64</f>
        <v>4300</v>
      </c>
      <c r="M60" s="559"/>
      <c r="P60" s="404"/>
      <c r="Q60" s="132"/>
      <c r="R60" s="132"/>
      <c r="S60" s="132"/>
      <c r="T60" s="132"/>
      <c r="U60" s="113"/>
      <c r="V60" s="136"/>
    </row>
    <row r="61">
      <c r="B61" s="438"/>
      <c r="D61" s="439"/>
      <c r="E61" s="438"/>
      <c r="F61" s="454" t="s">
        <v>23</v>
      </c>
      <c r="H61" s="439"/>
      <c r="I61" s="488">
        <v>200.0</v>
      </c>
      <c r="J61" s="450">
        <f t="array" ref="J61">sum(IF(($R$3:$R$100=F61), $T$3:$T$100, 0))</f>
        <v>40</v>
      </c>
      <c r="K61" s="430"/>
      <c r="L61" s="37"/>
      <c r="M61" s="560"/>
      <c r="P61" s="404"/>
      <c r="Q61" s="132"/>
      <c r="R61" s="132"/>
      <c r="S61" s="132"/>
      <c r="T61" s="132"/>
      <c r="U61" s="113"/>
      <c r="V61" s="136"/>
    </row>
    <row r="62">
      <c r="B62" s="432"/>
      <c r="D62" s="433"/>
      <c r="E62" s="432"/>
      <c r="F62" s="451" t="s">
        <v>149</v>
      </c>
      <c r="H62" s="433"/>
      <c r="I62" s="489">
        <v>0.0</v>
      </c>
      <c r="J62" s="453">
        <f t="array" ref="J62">sum(IF(($R$3:$R$100=F62), $T$3:$T$100, 0))</f>
        <v>0</v>
      </c>
      <c r="K62" s="418"/>
      <c r="L62" s="434"/>
      <c r="M62" s="559" t="str">
        <f>DATESTATUS(E86,F86)</f>
        <v>Expired</v>
      </c>
      <c r="P62" s="404"/>
      <c r="Q62" s="132"/>
      <c r="R62" s="132"/>
      <c r="S62" s="132"/>
      <c r="T62" s="132"/>
      <c r="U62" s="113"/>
      <c r="V62" s="136"/>
    </row>
    <row r="63">
      <c r="B63" s="438"/>
      <c r="D63" s="439"/>
      <c r="E63" s="438"/>
      <c r="F63" s="454" t="s">
        <v>150</v>
      </c>
      <c r="H63" s="439"/>
      <c r="I63" s="490">
        <v>0.0</v>
      </c>
      <c r="J63" s="450">
        <f t="array" ref="J63">sum(IF(($R$3:$R$100=F63), $T$3:$T$100, 0))</f>
        <v>0</v>
      </c>
      <c r="K63" s="430"/>
      <c r="L63" s="37"/>
      <c r="M63" s="560"/>
      <c r="P63" s="404"/>
      <c r="Q63" s="132"/>
      <c r="R63" s="132"/>
      <c r="S63" s="132"/>
      <c r="T63" s="132"/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491">
        <v>3000.0</v>
      </c>
      <c r="J64" s="467">
        <f t="array" ref="J64">sum(IF(($R$3:$R$100=F64), $T$3:$T$100, 0))</f>
        <v>3695</v>
      </c>
      <c r="K64" s="460"/>
      <c r="L64" s="445"/>
      <c r="M64" s="559"/>
      <c r="P64" s="404"/>
      <c r="Q64" s="132"/>
      <c r="R64" s="132"/>
      <c r="S64" s="132"/>
      <c r="T64" s="132"/>
      <c r="U64" s="113"/>
      <c r="V64" s="136"/>
    </row>
    <row r="65">
      <c r="B65" s="447" t="s">
        <v>134</v>
      </c>
      <c r="C65" s="424"/>
      <c r="D65" s="425"/>
      <c r="E65" s="431">
        <f>sum(I65:I68)</f>
        <v>12500</v>
      </c>
      <c r="F65" s="581" t="s">
        <v>116</v>
      </c>
      <c r="G65" s="424"/>
      <c r="H65" s="425"/>
      <c r="I65" s="582">
        <v>2500.0</v>
      </c>
      <c r="J65" s="468">
        <f t="array" ref="J65">sum(IF(($R$3:$R$100=F65), $T$3:$T$100, 0))</f>
        <v>2500</v>
      </c>
      <c r="K65" s="425"/>
      <c r="L65" s="583">
        <f>sum(J65:J69)</f>
        <v>112500</v>
      </c>
      <c r="M65" s="560" t="str">
        <f t="shared" ref="M65:M66" si="2">DATESTATUS(E87,F87)</f>
        <v>Expired</v>
      </c>
      <c r="P65" s="404"/>
      <c r="Q65" s="132"/>
      <c r="R65" s="132"/>
      <c r="S65" s="132"/>
      <c r="T65" s="132"/>
      <c r="U65" s="113"/>
      <c r="V65" s="136"/>
    </row>
    <row r="66">
      <c r="B66" s="432"/>
      <c r="D66" s="433"/>
      <c r="E66" s="434"/>
      <c r="F66" s="584" t="s">
        <v>121</v>
      </c>
      <c r="H66" s="433"/>
      <c r="I66" s="585">
        <v>10000.0</v>
      </c>
      <c r="J66" s="586">
        <f t="array" ref="J66">sum(IF(($R$3:$R$100=F66), $T$3:$T$100, 0))</f>
        <v>10000</v>
      </c>
      <c r="K66" s="433"/>
      <c r="L66" s="433"/>
      <c r="M66" s="559" t="str">
        <f t="shared" si="2"/>
        <v>Expired</v>
      </c>
      <c r="P66" s="404"/>
      <c r="Q66" s="132"/>
      <c r="R66" s="132"/>
      <c r="S66" s="132"/>
      <c r="T66" s="132"/>
      <c r="U66" s="113"/>
      <c r="V66" s="136"/>
    </row>
    <row r="67">
      <c r="B67" s="438"/>
      <c r="D67" s="439"/>
      <c r="E67" s="37"/>
      <c r="F67" s="587" t="s">
        <v>125</v>
      </c>
      <c r="H67" s="439"/>
      <c r="I67" s="588">
        <v>0.0</v>
      </c>
      <c r="J67" s="589">
        <f t="array" ref="J67">sum(IF(($R$3:$R$100=F67), $T$3:$T$100, 0))</f>
        <v>0</v>
      </c>
      <c r="K67" s="439"/>
      <c r="L67" s="439"/>
      <c r="M67" s="560"/>
      <c r="P67" s="404"/>
      <c r="Q67" s="132"/>
      <c r="R67" s="132"/>
      <c r="S67" s="132"/>
      <c r="T67" s="132"/>
      <c r="U67" s="113"/>
      <c r="V67" s="136"/>
    </row>
    <row r="68">
      <c r="B68" s="432"/>
      <c r="D68" s="433"/>
      <c r="E68" s="434"/>
      <c r="F68" s="584" t="s">
        <v>129</v>
      </c>
      <c r="H68" s="433"/>
      <c r="I68" s="585">
        <v>0.0</v>
      </c>
      <c r="J68" s="586">
        <f t="array" ref="J68">sum(IF(($R$3:$R$100=F68), $T$3:$T$100, 0))</f>
        <v>50000</v>
      </c>
      <c r="K68" s="433"/>
      <c r="L68" s="433"/>
      <c r="M68" s="559"/>
      <c r="P68" s="404"/>
      <c r="Q68" s="132"/>
      <c r="R68" s="132"/>
      <c r="S68" s="132"/>
      <c r="T68" s="102"/>
      <c r="U68" s="113"/>
      <c r="V68" s="136"/>
    </row>
    <row r="69">
      <c r="B69" s="413"/>
      <c r="C69" s="414"/>
      <c r="D69" s="415"/>
      <c r="E69" s="51"/>
      <c r="F69" s="525" t="s">
        <v>132</v>
      </c>
      <c r="H69" s="439"/>
      <c r="I69" s="590">
        <v>1000.0</v>
      </c>
      <c r="J69" s="589">
        <f t="array" ref="J69">sum(IF(($R$3:$R$100=F69), $T$3:$T$100, 0))</f>
        <v>50000</v>
      </c>
      <c r="K69" s="439"/>
      <c r="L69" s="415"/>
      <c r="M69" s="560"/>
      <c r="P69" s="404"/>
      <c r="Q69" s="132"/>
      <c r="R69" s="132"/>
      <c r="S69" s="132"/>
      <c r="T69" s="132"/>
      <c r="U69" s="113"/>
      <c r="V69" s="136"/>
    </row>
    <row r="70">
      <c r="B70" s="458" t="s">
        <v>26</v>
      </c>
      <c r="C70" s="459"/>
      <c r="D70" s="460"/>
      <c r="E70" s="591">
        <f>I70+I71</f>
        <v>0</v>
      </c>
      <c r="F70" s="592" t="s">
        <v>26</v>
      </c>
      <c r="G70" s="459"/>
      <c r="H70" s="460"/>
      <c r="I70" s="593"/>
      <c r="J70" s="470">
        <f t="array" ref="J70">sum(IF(($R$3:$R$100=F70), $T$3:$T$100, 0))</f>
        <v>2020</v>
      </c>
      <c r="K70" s="460"/>
      <c r="L70" s="591">
        <f>J70+J71</f>
        <v>2020</v>
      </c>
      <c r="M70" s="594"/>
      <c r="P70" s="404"/>
      <c r="Q70" s="132"/>
      <c r="R70" s="132"/>
      <c r="S70" s="132"/>
      <c r="T70" s="132"/>
      <c r="U70" s="113"/>
      <c r="V70" s="136"/>
    </row>
    <row r="71">
      <c r="B71" s="413"/>
      <c r="C71" s="414"/>
      <c r="D71" s="415"/>
      <c r="E71" s="439"/>
      <c r="F71" s="525" t="s">
        <v>151</v>
      </c>
      <c r="H71" s="439"/>
      <c r="I71" s="295"/>
      <c r="J71" s="589">
        <f t="array" ref="J71">sum(IF(($R$3:$R$100=F71), $T$3:$T$100, 0))</f>
        <v>0</v>
      </c>
      <c r="K71" s="439"/>
      <c r="L71" s="439"/>
      <c r="M71" s="595"/>
      <c r="P71" s="404"/>
      <c r="Q71" s="132"/>
      <c r="R71" s="132"/>
      <c r="S71" s="132"/>
      <c r="T71" s="132"/>
      <c r="U71" s="113"/>
      <c r="V71" s="136"/>
    </row>
    <row r="72">
      <c r="B72" s="458" t="s">
        <v>139</v>
      </c>
      <c r="C72" s="459"/>
      <c r="D72" s="460"/>
      <c r="E72" s="591">
        <f>I72+I73</f>
        <v>0</v>
      </c>
      <c r="F72" s="592" t="s">
        <v>152</v>
      </c>
      <c r="G72" s="459"/>
      <c r="H72" s="460"/>
      <c r="I72" s="596"/>
      <c r="J72" s="470">
        <f t="array" ref="J72">sum(IF(($R$3:$R$100=F72), $T$3:$T$100, 0))</f>
        <v>0</v>
      </c>
      <c r="K72" s="460"/>
      <c r="L72" s="591">
        <f>J72+J73</f>
        <v>0</v>
      </c>
      <c r="M72" s="594"/>
      <c r="P72" s="404"/>
      <c r="Q72" s="132"/>
      <c r="R72" s="132"/>
      <c r="S72" s="132"/>
      <c r="T72" s="132"/>
      <c r="U72" s="113"/>
      <c r="V72" s="136"/>
    </row>
    <row r="73">
      <c r="B73" s="348"/>
      <c r="C73" s="94"/>
      <c r="D73" s="93"/>
      <c r="E73" s="93"/>
      <c r="F73" s="597" t="s">
        <v>153</v>
      </c>
      <c r="G73" s="94"/>
      <c r="H73" s="93"/>
      <c r="I73" s="128"/>
      <c r="J73" s="597"/>
      <c r="K73" s="93"/>
      <c r="L73" s="93"/>
      <c r="M73" s="128"/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H75" s="500" t="s">
        <v>96</v>
      </c>
      <c r="I75" s="501">
        <f t="shared" ref="I75:J75" si="3">SUM(I45:I72)</f>
        <v>48820</v>
      </c>
      <c r="J75" s="501">
        <f t="shared" si="3"/>
        <v>152729</v>
      </c>
      <c r="L75" s="502">
        <f t="shared" ref="L75:L77" si="5">I75-J75</f>
        <v>-103909</v>
      </c>
      <c r="P75" s="404"/>
      <c r="Q75" s="132"/>
      <c r="R75" s="132"/>
      <c r="S75" s="132"/>
      <c r="T75" s="132"/>
      <c r="U75" s="113"/>
      <c r="V75" s="136"/>
    </row>
    <row r="76">
      <c r="H76" s="503" t="s">
        <v>190</v>
      </c>
      <c r="I76" s="504">
        <f t="shared" ref="I76:J76" si="4">I46+I47+I49+I58+I59+I63+I67+I68+I62+I64+I65+I66</f>
        <v>18440</v>
      </c>
      <c r="J76" s="504">
        <f t="shared" si="4"/>
        <v>68839</v>
      </c>
      <c r="L76" s="505">
        <f t="shared" si="5"/>
        <v>-50399</v>
      </c>
      <c r="P76" s="404"/>
      <c r="Q76" s="132"/>
      <c r="R76" s="132"/>
      <c r="S76" s="132"/>
      <c r="T76" s="132"/>
      <c r="U76" s="113"/>
      <c r="V76" s="136"/>
    </row>
    <row r="77">
      <c r="H77" s="506" t="s">
        <v>51</v>
      </c>
      <c r="I77" s="507">
        <f t="shared" ref="I77:J77" si="6">I75-I76</f>
        <v>30380</v>
      </c>
      <c r="J77" s="507">
        <f t="shared" si="6"/>
        <v>83890</v>
      </c>
      <c r="L77" s="508">
        <f t="shared" si="5"/>
        <v>-53510</v>
      </c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B81" s="598" t="s">
        <v>373</v>
      </c>
      <c r="C81" s="599"/>
      <c r="D81" s="599"/>
      <c r="E81" s="600" t="s">
        <v>374</v>
      </c>
      <c r="F81" s="601" t="s">
        <v>375</v>
      </c>
      <c r="P81" s="404"/>
      <c r="Q81" s="102"/>
      <c r="R81" s="102"/>
      <c r="S81" s="102"/>
      <c r="T81" s="102"/>
      <c r="U81" s="113"/>
      <c r="V81" s="136"/>
    </row>
    <row r="82">
      <c r="B82" s="602" t="s">
        <v>376</v>
      </c>
      <c r="C82" s="424"/>
      <c r="D82" s="424"/>
      <c r="E82" s="18" t="s">
        <v>377</v>
      </c>
      <c r="F82" s="603"/>
      <c r="P82" s="404"/>
      <c r="Q82" s="102"/>
      <c r="R82" s="102"/>
      <c r="S82" s="102"/>
      <c r="T82" s="102"/>
      <c r="U82" s="113"/>
      <c r="V82" s="136"/>
    </row>
    <row r="83">
      <c r="B83" s="604" t="s">
        <v>122</v>
      </c>
      <c r="E83" s="605">
        <v>46160.0</v>
      </c>
      <c r="F83" s="606">
        <v>46165.0</v>
      </c>
      <c r="P83" s="404"/>
      <c r="Q83" s="102"/>
      <c r="R83" s="102"/>
      <c r="S83" s="102"/>
      <c r="T83" s="102"/>
      <c r="U83" s="113"/>
      <c r="V83" s="136"/>
    </row>
    <row r="84">
      <c r="B84" s="607" t="s">
        <v>118</v>
      </c>
      <c r="E84" s="608">
        <v>46138.0</v>
      </c>
      <c r="F84" s="609">
        <v>46142.0</v>
      </c>
      <c r="P84" s="112"/>
      <c r="Q84" s="102"/>
      <c r="R84" s="102"/>
      <c r="S84" s="102"/>
      <c r="T84" s="102"/>
      <c r="U84" s="113"/>
      <c r="V84" s="136"/>
    </row>
    <row r="85">
      <c r="B85" s="604" t="s">
        <v>130</v>
      </c>
      <c r="E85" s="605">
        <v>46138.0</v>
      </c>
      <c r="F85" s="606">
        <v>46139.0</v>
      </c>
      <c r="J85" s="610"/>
      <c r="P85" s="112"/>
      <c r="Q85" s="102"/>
      <c r="R85" s="102"/>
      <c r="S85" s="102"/>
      <c r="T85" s="102"/>
      <c r="U85" s="113"/>
      <c r="V85" s="136"/>
    </row>
    <row r="86">
      <c r="B86" s="607" t="s">
        <v>149</v>
      </c>
      <c r="E86" s="43"/>
      <c r="F86" s="295"/>
      <c r="P86" s="112"/>
      <c r="Q86" s="102"/>
      <c r="R86" s="102"/>
      <c r="S86" s="102"/>
      <c r="T86" s="102"/>
      <c r="U86" s="113"/>
      <c r="V86" s="136"/>
    </row>
    <row r="87">
      <c r="B87" s="604" t="s">
        <v>116</v>
      </c>
      <c r="E87" s="605">
        <v>46138.0</v>
      </c>
      <c r="F87" s="606">
        <v>46162.0</v>
      </c>
      <c r="P87" s="112"/>
      <c r="Q87" s="102"/>
      <c r="R87" s="102"/>
      <c r="S87" s="102"/>
      <c r="T87" s="102"/>
      <c r="U87" s="113"/>
      <c r="V87" s="136"/>
    </row>
    <row r="88">
      <c r="B88" s="607" t="s">
        <v>121</v>
      </c>
      <c r="E88" s="608">
        <v>46138.0</v>
      </c>
      <c r="F88" s="609">
        <v>46142.0</v>
      </c>
      <c r="P88" s="112"/>
      <c r="Q88" s="102"/>
      <c r="R88" s="102"/>
      <c r="S88" s="102"/>
      <c r="T88" s="102"/>
      <c r="U88" s="113"/>
      <c r="V88" s="136"/>
    </row>
    <row r="89">
      <c r="B89" s="611"/>
      <c r="C89" s="612"/>
      <c r="D89" s="612"/>
      <c r="E89" s="613"/>
      <c r="F89" s="614"/>
      <c r="P89" s="112"/>
      <c r="Q89" s="102"/>
      <c r="R89" s="102"/>
      <c r="S89" s="102"/>
      <c r="T89" s="102"/>
      <c r="U89" s="113"/>
      <c r="V89" s="136"/>
    </row>
    <row r="90">
      <c r="P90" s="112"/>
      <c r="Q90" s="102"/>
      <c r="R90" s="102"/>
      <c r="S90" s="102"/>
      <c r="T90" s="102"/>
      <c r="U90" s="113"/>
      <c r="V90" s="136"/>
    </row>
    <row r="91"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P91" s="112"/>
      <c r="Q91" s="102"/>
      <c r="R91" s="102"/>
      <c r="S91" s="102"/>
      <c r="T91" s="102"/>
      <c r="U91" s="113"/>
      <c r="V91" s="136"/>
    </row>
    <row r="92"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P92" s="112"/>
      <c r="Q92" s="102"/>
      <c r="R92" s="102"/>
      <c r="S92" s="102"/>
      <c r="T92" s="102"/>
      <c r="U92" s="113"/>
      <c r="V92" s="136"/>
    </row>
    <row r="93"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P93" s="112"/>
      <c r="Q93" s="102"/>
      <c r="R93" s="102"/>
      <c r="S93" s="102"/>
      <c r="T93" s="102"/>
      <c r="U93" s="113"/>
      <c r="V93" s="136"/>
    </row>
    <row r="94"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P94" s="112"/>
      <c r="Q94" s="102"/>
      <c r="R94" s="102"/>
      <c r="S94" s="102"/>
      <c r="T94" s="102"/>
      <c r="U94" s="113"/>
      <c r="V94" s="136"/>
    </row>
    <row r="95">
      <c r="B95" s="615"/>
      <c r="C95" s="615"/>
      <c r="D95" s="615"/>
      <c r="E95" s="615"/>
      <c r="F95" s="615"/>
      <c r="G95" s="615"/>
      <c r="H95" s="615"/>
      <c r="I95" s="615"/>
      <c r="J95" s="615"/>
      <c r="K95" s="615"/>
      <c r="L95" s="615"/>
      <c r="P95" s="112"/>
      <c r="Q95" s="102"/>
      <c r="R95" s="102"/>
      <c r="S95" s="102"/>
      <c r="T95" s="102"/>
      <c r="U95" s="113"/>
      <c r="V95" s="136"/>
    </row>
    <row r="96">
      <c r="B96" s="615"/>
      <c r="C96" s="615"/>
      <c r="D96" s="615"/>
      <c r="E96" s="615"/>
      <c r="F96" s="615"/>
      <c r="G96" s="615"/>
      <c r="H96" s="615"/>
      <c r="I96" s="615"/>
      <c r="J96" s="615"/>
      <c r="K96" s="615"/>
      <c r="L96" s="615"/>
      <c r="P96" s="112"/>
      <c r="Q96" s="102"/>
      <c r="R96" s="102"/>
      <c r="S96" s="102"/>
      <c r="T96" s="102"/>
      <c r="U96" s="113"/>
      <c r="V96" s="136"/>
    </row>
    <row r="97"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P97" s="112"/>
      <c r="Q97" s="102"/>
      <c r="R97" s="102"/>
      <c r="S97" s="102"/>
      <c r="T97" s="102"/>
      <c r="U97" s="113"/>
      <c r="V97" s="136"/>
    </row>
    <row r="98"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P98" s="112"/>
      <c r="Q98" s="102"/>
      <c r="R98" s="102"/>
      <c r="S98" s="102"/>
      <c r="T98" s="102"/>
      <c r="U98" s="113"/>
      <c r="V98" s="136"/>
    </row>
    <row r="99"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P99" s="112"/>
      <c r="Q99" s="102"/>
      <c r="R99" s="102"/>
      <c r="S99" s="102"/>
      <c r="T99" s="102"/>
      <c r="U99" s="113"/>
      <c r="V99" s="136"/>
    </row>
    <row r="100"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P100" s="112"/>
      <c r="Q100" s="102"/>
      <c r="R100" s="102"/>
      <c r="S100" s="102"/>
      <c r="T100" s="102"/>
      <c r="U100" s="113"/>
      <c r="V100" s="136"/>
    </row>
    <row r="101"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P101" s="298"/>
    </row>
    <row r="102"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P102" s="298"/>
    </row>
    <row r="103">
      <c r="B103" s="615"/>
      <c r="C103" s="615"/>
      <c r="D103" s="615"/>
      <c r="E103" s="615"/>
      <c r="F103" s="615"/>
      <c r="G103" s="615"/>
      <c r="H103" s="615"/>
      <c r="I103" s="615"/>
      <c r="J103" s="615"/>
      <c r="K103" s="615"/>
      <c r="L103" s="615"/>
      <c r="P103" s="298"/>
    </row>
    <row r="104">
      <c r="B104" s="615"/>
      <c r="C104" s="615"/>
      <c r="D104" s="615"/>
      <c r="E104" s="615"/>
      <c r="F104" s="615"/>
      <c r="G104" s="615"/>
      <c r="H104" s="615"/>
      <c r="I104" s="615"/>
      <c r="J104" s="615"/>
      <c r="K104" s="615"/>
      <c r="L104" s="615"/>
      <c r="P104" s="298"/>
    </row>
    <row r="105">
      <c r="B105" s="615"/>
      <c r="C105" s="615"/>
      <c r="D105" s="615"/>
      <c r="E105" s="615"/>
      <c r="F105" s="615"/>
      <c r="G105" s="615"/>
      <c r="H105" s="615"/>
      <c r="I105" s="615"/>
      <c r="J105" s="615"/>
      <c r="K105" s="615"/>
      <c r="L105" s="615"/>
      <c r="P105" s="298"/>
    </row>
    <row r="106"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P106" s="298"/>
    </row>
    <row r="107"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P107" s="298"/>
    </row>
    <row r="108"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  <c r="P108" s="298"/>
    </row>
    <row r="109">
      <c r="B109" s="615"/>
      <c r="C109" s="615"/>
      <c r="D109" s="615"/>
      <c r="E109" s="615"/>
      <c r="F109" s="615"/>
      <c r="G109" s="615"/>
      <c r="H109" s="615"/>
      <c r="I109" s="615"/>
      <c r="J109" s="615"/>
      <c r="K109" s="615"/>
      <c r="L109" s="615"/>
      <c r="P109" s="298"/>
    </row>
    <row r="110"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P110" s="298"/>
    </row>
    <row r="111"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P111" s="298"/>
    </row>
    <row r="112">
      <c r="B112" s="616"/>
      <c r="C112" s="616"/>
      <c r="D112" s="616"/>
      <c r="E112" s="616"/>
      <c r="F112" s="616"/>
      <c r="G112" s="616"/>
      <c r="H112" s="616"/>
      <c r="I112" s="616"/>
      <c r="J112" s="616"/>
      <c r="K112" s="616"/>
      <c r="L112" s="616"/>
      <c r="P112" s="298"/>
    </row>
    <row r="113">
      <c r="B113" s="616"/>
      <c r="C113" s="616"/>
      <c r="D113" s="616"/>
      <c r="E113" s="616"/>
      <c r="F113" s="616"/>
      <c r="G113" s="616"/>
      <c r="H113" s="616"/>
      <c r="I113" s="616"/>
      <c r="J113" s="616"/>
      <c r="K113" s="616"/>
      <c r="L113" s="616"/>
      <c r="P113" s="298"/>
    </row>
    <row r="114">
      <c r="B114" s="616"/>
      <c r="C114" s="616"/>
      <c r="D114" s="616"/>
      <c r="E114" s="616"/>
      <c r="F114" s="616"/>
      <c r="G114" s="616"/>
      <c r="H114" s="616"/>
      <c r="I114" s="616"/>
      <c r="J114" s="616"/>
      <c r="K114" s="616"/>
      <c r="L114" s="616"/>
      <c r="P114" s="298"/>
    </row>
    <row r="115">
      <c r="B115" s="616"/>
      <c r="C115" s="616"/>
      <c r="D115" s="616"/>
      <c r="E115" s="616"/>
      <c r="F115" s="616"/>
      <c r="G115" s="616"/>
      <c r="H115" s="616"/>
      <c r="I115" s="616"/>
      <c r="J115" s="616"/>
      <c r="K115" s="616"/>
      <c r="L115" s="616"/>
      <c r="P115" s="298"/>
    </row>
    <row r="116">
      <c r="B116" s="616"/>
      <c r="C116" s="616"/>
      <c r="D116" s="616"/>
      <c r="E116" s="616"/>
      <c r="F116" s="616"/>
      <c r="G116" s="616"/>
      <c r="H116" s="616"/>
      <c r="I116" s="616"/>
      <c r="J116" s="616"/>
      <c r="K116" s="616"/>
      <c r="L116" s="616"/>
      <c r="P116" s="298"/>
    </row>
    <row r="117">
      <c r="B117" s="616"/>
      <c r="C117" s="616"/>
      <c r="D117" s="616"/>
      <c r="E117" s="616"/>
      <c r="F117" s="616"/>
      <c r="G117" s="616"/>
      <c r="H117" s="616"/>
      <c r="I117" s="616"/>
      <c r="J117" s="616"/>
      <c r="K117" s="616"/>
      <c r="L117" s="616"/>
      <c r="P117" s="298"/>
    </row>
    <row r="118">
      <c r="B118" s="616"/>
      <c r="C118" s="616"/>
      <c r="D118" s="616"/>
      <c r="E118" s="616"/>
      <c r="F118" s="616"/>
      <c r="G118" s="616"/>
      <c r="H118" s="616"/>
      <c r="I118" s="616"/>
      <c r="J118" s="616"/>
      <c r="K118" s="616"/>
      <c r="L118" s="616"/>
      <c r="P118" s="298"/>
    </row>
    <row r="119">
      <c r="B119" s="616"/>
      <c r="C119" s="616"/>
      <c r="D119" s="616"/>
      <c r="E119" s="616"/>
      <c r="F119" s="616"/>
      <c r="G119" s="616"/>
      <c r="H119" s="616"/>
      <c r="I119" s="616"/>
      <c r="J119" s="616"/>
      <c r="K119" s="616"/>
      <c r="L119" s="616"/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132">
    <mergeCell ref="B2:F2"/>
    <mergeCell ref="H2:H3"/>
    <mergeCell ref="I2:I3"/>
    <mergeCell ref="L2:M2"/>
    <mergeCell ref="W2:Y2"/>
    <mergeCell ref="X3:Y3"/>
    <mergeCell ref="X4:Y4"/>
    <mergeCell ref="X12:Y12"/>
    <mergeCell ref="X13:Y13"/>
    <mergeCell ref="X14:Y14"/>
    <mergeCell ref="L15:M15"/>
    <mergeCell ref="X15:Y15"/>
    <mergeCell ref="X5:Y5"/>
    <mergeCell ref="X6:Y6"/>
    <mergeCell ref="X7:Y7"/>
    <mergeCell ref="X8:Y8"/>
    <mergeCell ref="X9:Y9"/>
    <mergeCell ref="X10:Y10"/>
    <mergeCell ref="X11:Y11"/>
    <mergeCell ref="X16:Y16"/>
    <mergeCell ref="X17:Y17"/>
    <mergeCell ref="X18:Y18"/>
    <mergeCell ref="X19:Y19"/>
    <mergeCell ref="X20:Y20"/>
    <mergeCell ref="X21:Y21"/>
    <mergeCell ref="X22:Y22"/>
    <mergeCell ref="X23:Y23"/>
    <mergeCell ref="L24:M24"/>
    <mergeCell ref="L33:M33"/>
    <mergeCell ref="I42:I43"/>
    <mergeCell ref="J42:K43"/>
    <mergeCell ref="L42:L43"/>
    <mergeCell ref="M42:M43"/>
    <mergeCell ref="F46:H46"/>
    <mergeCell ref="F47:H47"/>
    <mergeCell ref="F48:H48"/>
    <mergeCell ref="F49:H49"/>
    <mergeCell ref="J45:K45"/>
    <mergeCell ref="L45:L50"/>
    <mergeCell ref="J46:K46"/>
    <mergeCell ref="J47:K47"/>
    <mergeCell ref="J48:K48"/>
    <mergeCell ref="J49:K49"/>
    <mergeCell ref="L51:L54"/>
    <mergeCell ref="J58:K58"/>
    <mergeCell ref="J61:K61"/>
    <mergeCell ref="J62:K62"/>
    <mergeCell ref="J63:K63"/>
    <mergeCell ref="L60:L64"/>
    <mergeCell ref="L65:L69"/>
    <mergeCell ref="L70:L71"/>
    <mergeCell ref="L72:L73"/>
    <mergeCell ref="J54:K54"/>
    <mergeCell ref="J55:K55"/>
    <mergeCell ref="L55:L57"/>
    <mergeCell ref="J56:K56"/>
    <mergeCell ref="J57:K57"/>
    <mergeCell ref="L58:L59"/>
    <mergeCell ref="J64:K64"/>
    <mergeCell ref="J75:K75"/>
    <mergeCell ref="J76:K76"/>
    <mergeCell ref="J77:K77"/>
    <mergeCell ref="J66:K66"/>
    <mergeCell ref="J67:K67"/>
    <mergeCell ref="J68:K68"/>
    <mergeCell ref="J69:K69"/>
    <mergeCell ref="J71:K71"/>
    <mergeCell ref="J73:K73"/>
    <mergeCell ref="J74:K74"/>
    <mergeCell ref="F69:H69"/>
    <mergeCell ref="F70:H70"/>
    <mergeCell ref="J70:K70"/>
    <mergeCell ref="F63:H63"/>
    <mergeCell ref="F64:H64"/>
    <mergeCell ref="F65:H65"/>
    <mergeCell ref="J65:K65"/>
    <mergeCell ref="F66:H66"/>
    <mergeCell ref="F67:H67"/>
    <mergeCell ref="F68:H68"/>
    <mergeCell ref="B45:D50"/>
    <mergeCell ref="B51:D54"/>
    <mergeCell ref="E51:E54"/>
    <mergeCell ref="B55:D57"/>
    <mergeCell ref="E55:E57"/>
    <mergeCell ref="B58:D59"/>
    <mergeCell ref="E58:E59"/>
    <mergeCell ref="B60:D64"/>
    <mergeCell ref="E60:E64"/>
    <mergeCell ref="B65:D69"/>
    <mergeCell ref="E65:E69"/>
    <mergeCell ref="B70:D71"/>
    <mergeCell ref="E70:E71"/>
    <mergeCell ref="E72:E73"/>
    <mergeCell ref="B42:H43"/>
    <mergeCell ref="B44:D44"/>
    <mergeCell ref="F44:H44"/>
    <mergeCell ref="J44:K44"/>
    <mergeCell ref="E45:E50"/>
    <mergeCell ref="F45:H45"/>
    <mergeCell ref="F50:H50"/>
    <mergeCell ref="J50:K50"/>
    <mergeCell ref="J52:K52"/>
    <mergeCell ref="F51:H51"/>
    <mergeCell ref="J51:K51"/>
    <mergeCell ref="F52:H52"/>
    <mergeCell ref="F53:H53"/>
    <mergeCell ref="J53:K53"/>
    <mergeCell ref="F54:H54"/>
    <mergeCell ref="F55:H55"/>
    <mergeCell ref="J59:K59"/>
    <mergeCell ref="J60:K60"/>
    <mergeCell ref="F71:H71"/>
    <mergeCell ref="F72:H72"/>
    <mergeCell ref="J72:K72"/>
    <mergeCell ref="F73:H73"/>
    <mergeCell ref="F56:H56"/>
    <mergeCell ref="F57:H57"/>
    <mergeCell ref="F58:H58"/>
    <mergeCell ref="F59:H59"/>
    <mergeCell ref="F60:H60"/>
    <mergeCell ref="F61:H61"/>
    <mergeCell ref="F62:H62"/>
    <mergeCell ref="B87:D87"/>
    <mergeCell ref="B88:D88"/>
    <mergeCell ref="B89:D89"/>
    <mergeCell ref="B72:D73"/>
    <mergeCell ref="B81:D81"/>
    <mergeCell ref="B82:D82"/>
    <mergeCell ref="B83:D83"/>
    <mergeCell ref="B84:D84"/>
    <mergeCell ref="B85:D85"/>
    <mergeCell ref="B86:D86"/>
  </mergeCells>
  <conditionalFormatting sqref="J45:K72">
    <cfRule type="cellIs" dxfId="13" priority="1" operator="greaterThanOrEqual">
      <formula>I45</formula>
    </cfRule>
  </conditionalFormatting>
  <conditionalFormatting sqref="M45:M72">
    <cfRule type="beginsWith" dxfId="17" priority="2" operator="beginsWith" text="Start in">
      <formula>LEFT((M45),LEN("Start in"))=("Start in")</formula>
    </cfRule>
  </conditionalFormatting>
  <conditionalFormatting sqref="M45:M72">
    <cfRule type="beginsWith" dxfId="18" priority="3" operator="beginsWith" text="Expire in">
      <formula>LEFT((M45),LEN("Expire in"))=("Expire in")</formula>
    </cfRule>
  </conditionalFormatting>
  <conditionalFormatting sqref="M45:M72">
    <cfRule type="beginsWith" dxfId="19" priority="4" operator="beginsWith" text="Expired">
      <formula>LEFT((M45),LEN("Expired"))=("Expired")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W4:W23 I4:I35 B4:B39 E83:F88 P3:P1000">
      <formula1>OR(NOT(ISERROR(DATEVALUE(B3))), AND(ISNUMBER(B3), LEFT(CELL("format", B3))="D"))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9.88"/>
    <col customWidth="1" min="3" max="3" width="6.0"/>
    <col customWidth="1" min="4" max="4" width="8.13"/>
    <col customWidth="1" min="5" max="5" width="14.25"/>
    <col customWidth="1" min="6" max="6" width="14.38"/>
    <col customWidth="1" min="7" max="7" width="2.88"/>
    <col customWidth="1" min="8" max="8" width="10.25"/>
    <col customWidth="1" min="9" max="9" width="10.5"/>
    <col customWidth="1" min="10" max="10" width="9.0"/>
    <col customWidth="1" min="11" max="11" width="2.88"/>
    <col customWidth="1" min="12" max="12" width="10.25"/>
    <col customWidth="1" min="13" max="13" width="12.0"/>
    <col customWidth="1" min="14" max="14" width="8.25"/>
    <col customWidth="1" min="15" max="15" width="3.25"/>
    <col customWidth="1" min="17" max="17" width="23.5"/>
    <col customWidth="1" min="18" max="18" width="22.88"/>
    <col customWidth="1" min="19" max="19" width="17.0"/>
    <col customWidth="1" min="20" max="20" width="10.25"/>
    <col customWidth="1" min="21" max="21" width="29.25"/>
    <col customWidth="1" min="22" max="22" width="3.63"/>
  </cols>
  <sheetData>
    <row r="2">
      <c r="B2" s="157" t="s">
        <v>155</v>
      </c>
      <c r="C2" s="158"/>
      <c r="D2" s="158"/>
      <c r="E2" s="158"/>
      <c r="F2" s="159"/>
      <c r="H2" s="307" t="s">
        <v>32</v>
      </c>
      <c r="I2" s="162" t="s">
        <v>6</v>
      </c>
      <c r="J2" s="372">
        <f>sum(J4:J39)</f>
        <v>50303</v>
      </c>
      <c r="L2" s="84" t="s">
        <v>34</v>
      </c>
      <c r="M2" s="86"/>
      <c r="N2" s="400">
        <f>M4+M5+M8+M9+M12</f>
        <v>11192</v>
      </c>
      <c r="P2" s="401" t="s">
        <v>6</v>
      </c>
      <c r="Q2" s="402" t="s">
        <v>107</v>
      </c>
      <c r="R2" s="402" t="s">
        <v>108</v>
      </c>
      <c r="S2" s="402" t="s">
        <v>156</v>
      </c>
      <c r="T2" s="402" t="s">
        <v>35</v>
      </c>
      <c r="U2" s="403" t="s">
        <v>157</v>
      </c>
      <c r="V2" s="312"/>
      <c r="W2" s="3" t="s">
        <v>261</v>
      </c>
      <c r="X2" s="86"/>
      <c r="Y2" s="81"/>
    </row>
    <row r="3">
      <c r="B3" s="313" t="s">
        <v>6</v>
      </c>
      <c r="C3" s="206" t="s">
        <v>4</v>
      </c>
      <c r="D3" s="164" t="s">
        <v>35</v>
      </c>
      <c r="E3" s="164" t="s">
        <v>158</v>
      </c>
      <c r="F3" s="164" t="s">
        <v>159</v>
      </c>
      <c r="H3" s="14"/>
      <c r="I3" s="94"/>
      <c r="J3" s="373" t="s">
        <v>4</v>
      </c>
      <c r="L3" s="166" t="s">
        <v>39</v>
      </c>
      <c r="M3" s="167" t="s">
        <v>40</v>
      </c>
      <c r="N3" s="168" t="s">
        <v>41</v>
      </c>
      <c r="P3" s="404">
        <v>46164.0</v>
      </c>
      <c r="Q3" s="132" t="s">
        <v>114</v>
      </c>
      <c r="R3" s="132" t="s">
        <v>118</v>
      </c>
      <c r="S3" s="132" t="s">
        <v>136</v>
      </c>
      <c r="T3" s="132">
        <v>1000.0</v>
      </c>
      <c r="U3" s="109"/>
      <c r="V3" s="136"/>
      <c r="W3" s="510" t="s">
        <v>6</v>
      </c>
      <c r="X3" s="511" t="s">
        <v>262</v>
      </c>
      <c r="Y3" s="93"/>
    </row>
    <row r="4">
      <c r="B4" s="317">
        <v>46163.0</v>
      </c>
      <c r="C4" s="108"/>
      <c r="D4" s="150">
        <v>59500.0</v>
      </c>
      <c r="E4" s="108" t="s">
        <v>143</v>
      </c>
      <c r="F4" s="174" t="s">
        <v>120</v>
      </c>
      <c r="H4" s="318" t="str">
        <f t="shared" ref="H4:H39" si="1">TEXT(I4, "dddd")
</f>
        <v>Friday</v>
      </c>
      <c r="I4" s="319">
        <v>46164.0</v>
      </c>
      <c r="J4" s="170">
        <f t="array" ref="J4">sum(IF(($P$3:$P$100=I4), $T$3:$T$100, 0))</f>
        <v>4470</v>
      </c>
      <c r="L4" s="320" t="str">
        <f t="array" ref="L4:L12">INDIRECT("Account")</f>
        <v>Cash</v>
      </c>
      <c r="M4" s="405">
        <f t="array" ref="M4">N4 - sum(IF(($E$4:$E$49=L4), $D$4:$D$39 + $C$4:$C$39, 0)) + sum(IF(($F$4:$F$49=L4), $D$4:$D$39, 0)) - sum(IF(($S$3:$S$100=L4), $T$3:$T$100, 0))</f>
        <v>335</v>
      </c>
      <c r="N4" s="322">
        <f t="array" ref="N4">INDIRECT("'" &amp; $E$82 &amp; "'!M4")</f>
        <v>2320</v>
      </c>
      <c r="P4" s="404">
        <v>46164.0</v>
      </c>
      <c r="Q4" s="132" t="s">
        <v>119</v>
      </c>
      <c r="R4" s="132" t="s">
        <v>135</v>
      </c>
      <c r="S4" s="132" t="s">
        <v>51</v>
      </c>
      <c r="T4" s="132">
        <f>2200+700+50</f>
        <v>2950</v>
      </c>
      <c r="U4" s="109"/>
      <c r="V4" s="136"/>
      <c r="W4" s="512"/>
      <c r="X4" s="36"/>
      <c r="Y4" s="439"/>
    </row>
    <row r="5">
      <c r="B5" s="317">
        <v>46163.0</v>
      </c>
      <c r="C5" s="108"/>
      <c r="D5" s="142">
        <v>10000.0</v>
      </c>
      <c r="E5" s="108" t="s">
        <v>120</v>
      </c>
      <c r="F5" s="174" t="s">
        <v>136</v>
      </c>
      <c r="H5" s="318" t="str">
        <f t="shared" si="1"/>
        <v>Saturday</v>
      </c>
      <c r="I5" s="319">
        <v>46165.0</v>
      </c>
      <c r="J5" s="170">
        <f t="array" ref="J5">sum(IF(($P$3:$P$100=I5), $T$3:$T$100, 0))</f>
        <v>180</v>
      </c>
      <c r="L5" s="324" t="s">
        <v>120</v>
      </c>
      <c r="M5" s="406">
        <f t="array" ref="M5">N5 - sum(IF(($E$4:$E$49=L5), $D$4:$D$39 + $C$4:$C$39, 0)) + sum(IF(($F$4:$F$49=L5), $D$4:$D$39, 0)) - sum(IF(($S$3:$S$100=L5), $T$3:$T$100, 0))</f>
        <v>5887</v>
      </c>
      <c r="N5" s="326">
        <f t="array" ref="N5">INDIRECT("'" &amp; $E$82 &amp; "'!M5")</f>
        <v>387</v>
      </c>
      <c r="P5" s="404">
        <v>46164.0</v>
      </c>
      <c r="Q5" s="132" t="s">
        <v>119</v>
      </c>
      <c r="R5" s="132" t="s">
        <v>138</v>
      </c>
      <c r="S5" s="132" t="s">
        <v>51</v>
      </c>
      <c r="T5" s="132">
        <f>300+110</f>
        <v>410</v>
      </c>
      <c r="U5" s="109"/>
      <c r="V5" s="136"/>
      <c r="W5" s="513"/>
      <c r="X5" s="514"/>
      <c r="Y5" s="433"/>
    </row>
    <row r="6">
      <c r="B6" s="317">
        <v>46163.0</v>
      </c>
      <c r="C6" s="108"/>
      <c r="D6" s="142">
        <v>5000.0</v>
      </c>
      <c r="E6" s="108" t="s">
        <v>136</v>
      </c>
      <c r="F6" s="174" t="s">
        <v>51</v>
      </c>
      <c r="H6" s="318" t="str">
        <f t="shared" si="1"/>
        <v>Sunday</v>
      </c>
      <c r="I6" s="319">
        <v>46166.0</v>
      </c>
      <c r="J6" s="170">
        <f t="array" ref="J6">sum(IF(($P$3:$P$100=I6), $T$3:$T$100, 0))</f>
        <v>1985</v>
      </c>
      <c r="L6" s="327" t="s">
        <v>124</v>
      </c>
      <c r="M6" s="325">
        <f t="array" ref="M6">N6 - sum(IF(($E$4:$E$49=L6), $D$4:$D$39 + $C$4:$C$39, 0)) + sum(IF(($F$4:$F$49=L6), $D$4:$D$39, 0)) - sum(IF(($S$3:$S$100=L6), $T$3:$T$100, 0))</f>
        <v>9</v>
      </c>
      <c r="N6" s="326">
        <f t="array" ref="N6">INDIRECT("'" &amp; $E$82 &amp; "'!M6")</f>
        <v>9</v>
      </c>
      <c r="P6" s="404">
        <v>46164.0</v>
      </c>
      <c r="Q6" s="132" t="s">
        <v>26</v>
      </c>
      <c r="R6" s="132" t="s">
        <v>26</v>
      </c>
      <c r="S6" s="132" t="s">
        <v>51</v>
      </c>
      <c r="T6" s="132">
        <f>20+20+20+20+10+5</f>
        <v>95</v>
      </c>
      <c r="U6" s="109"/>
      <c r="V6" s="136"/>
      <c r="W6" s="547"/>
      <c r="X6" s="548"/>
      <c r="Y6" s="439"/>
    </row>
    <row r="7">
      <c r="B7" s="317">
        <v>46167.0</v>
      </c>
      <c r="C7" s="142"/>
      <c r="D7" s="142">
        <v>15000.0</v>
      </c>
      <c r="E7" s="108" t="s">
        <v>120</v>
      </c>
      <c r="F7" s="174" t="s">
        <v>136</v>
      </c>
      <c r="H7" s="318" t="str">
        <f t="shared" si="1"/>
        <v>Monday</v>
      </c>
      <c r="I7" s="319">
        <v>46167.0</v>
      </c>
      <c r="J7" s="170">
        <f t="array" ref="J7">sum(IF(($P$3:$P$100=I7), $T$3:$T$100, 0))</f>
        <v>10310</v>
      </c>
      <c r="L7" s="327" t="s">
        <v>128</v>
      </c>
      <c r="M7" s="325">
        <f t="array" ref="M7">N7 - sum(IF(($E$4:$E$49=L7), $D$4:$D$39 + $C$4:$C$39, 0)) + sum(IF(($F$4:$F$49=L7), $D$4:$D$39, 0)) - sum(IF(($S$3:$S$100=L7), $T$3:$T$100, 0))</f>
        <v>285</v>
      </c>
      <c r="N7" s="326">
        <f t="array" ref="N7">INDIRECT("'" &amp; $E$82 &amp; "'!M7")</f>
        <v>285</v>
      </c>
      <c r="P7" s="404">
        <v>46164.0</v>
      </c>
      <c r="Q7" s="132" t="s">
        <v>131</v>
      </c>
      <c r="R7" s="132" t="s">
        <v>148</v>
      </c>
      <c r="S7" s="132" t="s">
        <v>51</v>
      </c>
      <c r="T7" s="132">
        <v>15.0</v>
      </c>
      <c r="U7" s="109"/>
      <c r="V7" s="136"/>
      <c r="W7" s="516"/>
      <c r="X7" s="517"/>
      <c r="Y7" s="433"/>
    </row>
    <row r="8">
      <c r="B8" s="317">
        <v>46167.0</v>
      </c>
      <c r="C8" s="108"/>
      <c r="D8" s="142">
        <v>12000.0</v>
      </c>
      <c r="E8" s="108" t="s">
        <v>136</v>
      </c>
      <c r="F8" s="174" t="s">
        <v>51</v>
      </c>
      <c r="H8" s="318" t="str">
        <f t="shared" si="1"/>
        <v>Tuesday</v>
      </c>
      <c r="I8" s="319">
        <v>46168.0</v>
      </c>
      <c r="J8" s="170">
        <f t="array" ref="J8">sum(IF(($P$3:$P$100=I8), $T$3:$T$100, 0))</f>
        <v>0</v>
      </c>
      <c r="L8" s="331" t="s">
        <v>12</v>
      </c>
      <c r="M8" s="406">
        <f t="array" ref="M8">N8 - sum(IF(($E$4:$E$49=L8), $D$4:$D$39 + $C$4:$C$39, 0)) + sum(IF(($F$4:$F$49=L8), $D$4:$D$39, 0)) - sum(IF(($S$3:$S$100=L8), $T$3:$T$100, 0))</f>
        <v>2694</v>
      </c>
      <c r="N8" s="326">
        <f t="array" ref="N8">INDIRECT("'" &amp; $E$82 &amp; "'!M8")</f>
        <v>417</v>
      </c>
      <c r="P8" s="404">
        <v>46166.0</v>
      </c>
      <c r="Q8" s="132" t="s">
        <v>131</v>
      </c>
      <c r="R8" s="132" t="s">
        <v>131</v>
      </c>
      <c r="S8" s="132" t="s">
        <v>51</v>
      </c>
      <c r="T8" s="132">
        <f>1800+100</f>
        <v>1900</v>
      </c>
      <c r="U8" s="109" t="s">
        <v>378</v>
      </c>
      <c r="V8" s="136"/>
      <c r="W8" s="515"/>
      <c r="X8" s="43"/>
      <c r="Y8" s="439"/>
    </row>
    <row r="9">
      <c r="B9" s="317">
        <v>46168.0</v>
      </c>
      <c r="C9" s="108"/>
      <c r="D9" s="108">
        <v>5000.0</v>
      </c>
      <c r="E9" s="108" t="s">
        <v>136</v>
      </c>
      <c r="F9" s="174" t="s">
        <v>12</v>
      </c>
      <c r="H9" s="318" t="str">
        <f t="shared" si="1"/>
        <v>Wednesday</v>
      </c>
      <c r="I9" s="319">
        <v>46169.0</v>
      </c>
      <c r="J9" s="170">
        <f t="array" ref="J9">sum(IF(($P$3:$P$100=I9), $T$3:$T$100, 0))</f>
        <v>30</v>
      </c>
      <c r="L9" s="331" t="s">
        <v>65</v>
      </c>
      <c r="M9" s="406">
        <f t="array" ref="M9">N9 - sum(IF(($E$4:$E$49=L9), $D$4:$D$39 + $C$4:$C$39, 0)) + sum(IF(($F$4:$F$49=L9), $D$4:$D$39, 0)) - sum(IF(($S$3:$S$100=L9), $T$3:$T$100, 0))</f>
        <v>2</v>
      </c>
      <c r="N9" s="326">
        <f t="array" ref="N9">INDIRECT("'" &amp; $E$82 &amp; "'!M9")</f>
        <v>2</v>
      </c>
      <c r="P9" s="404">
        <v>46166.0</v>
      </c>
      <c r="Q9" s="132" t="s">
        <v>123</v>
      </c>
      <c r="R9" s="132" t="s">
        <v>144</v>
      </c>
      <c r="S9" s="132" t="s">
        <v>51</v>
      </c>
      <c r="T9" s="132">
        <v>85.0</v>
      </c>
      <c r="U9" s="109"/>
      <c r="V9" s="136"/>
      <c r="W9" s="516"/>
      <c r="X9" s="517"/>
      <c r="Y9" s="433"/>
    </row>
    <row r="10">
      <c r="B10" s="317">
        <v>46168.0</v>
      </c>
      <c r="C10" s="142">
        <v>5.0</v>
      </c>
      <c r="D10" s="142">
        <v>5100.0</v>
      </c>
      <c r="E10" s="108" t="s">
        <v>12</v>
      </c>
      <c r="F10" s="174" t="s">
        <v>140</v>
      </c>
      <c r="H10" s="318" t="str">
        <f t="shared" si="1"/>
        <v>Thursday</v>
      </c>
      <c r="I10" s="319">
        <v>46170.0</v>
      </c>
      <c r="J10" s="170">
        <f t="array" ref="J10">sum(IF(($P$3:$P$100=I10), $T$3:$T$100, 0))</f>
        <v>13340</v>
      </c>
      <c r="L10" s="333" t="s">
        <v>137</v>
      </c>
      <c r="M10" s="374">
        <f>N10</f>
        <v>0</v>
      </c>
      <c r="N10" s="326">
        <f t="array" ref="N10">INDIRECT("'" &amp; $E$82 &amp; "'!M10")</f>
        <v>0</v>
      </c>
      <c r="P10" s="404">
        <v>46167.0</v>
      </c>
      <c r="Q10" s="132" t="s">
        <v>119</v>
      </c>
      <c r="R10" s="132" t="s">
        <v>141</v>
      </c>
      <c r="S10" s="132" t="s">
        <v>51</v>
      </c>
      <c r="T10" s="132">
        <f>10000+200</f>
        <v>10200</v>
      </c>
      <c r="U10" s="109" t="s">
        <v>379</v>
      </c>
      <c r="V10" s="136"/>
      <c r="W10" s="515"/>
      <c r="X10" s="43"/>
      <c r="Y10" s="439"/>
    </row>
    <row r="11">
      <c r="B11" s="317">
        <v>46170.0</v>
      </c>
      <c r="C11" s="108"/>
      <c r="D11" s="142">
        <v>1200.0</v>
      </c>
      <c r="E11" s="108" t="s">
        <v>136</v>
      </c>
      <c r="F11" s="174" t="s">
        <v>12</v>
      </c>
      <c r="H11" s="318" t="str">
        <f t="shared" si="1"/>
        <v>Friday</v>
      </c>
      <c r="I11" s="319">
        <v>46171.0</v>
      </c>
      <c r="J11" s="170">
        <f t="array" ref="J11">sum(IF(($P$3:$P$100=I11), $T$3:$T$100, 0))</f>
        <v>0</v>
      </c>
      <c r="L11" s="333" t="s">
        <v>140</v>
      </c>
      <c r="M11" s="325">
        <f t="array" ref="M11">N11 - sum(IF(($E$4:$E$49=L11), $D$4:$D$39 + $C$4:$C$39, 0)) + sum(IF(($F$4:$F$49=L11), $D$4:$D$39, 0)) - sum(IF(($S$3:$S$100=L11), $T$3:$T$100, 0))</f>
        <v>8100</v>
      </c>
      <c r="N11" s="326">
        <f t="array" ref="N11">INDIRECT("'" &amp; $E$82 &amp; "'!M11")</f>
        <v>5500</v>
      </c>
      <c r="P11" s="404">
        <v>46167.0</v>
      </c>
      <c r="Q11" s="132" t="s">
        <v>131</v>
      </c>
      <c r="R11" s="132" t="s">
        <v>148</v>
      </c>
      <c r="S11" s="132" t="s">
        <v>51</v>
      </c>
      <c r="T11" s="132">
        <v>110.0</v>
      </c>
      <c r="U11" s="109"/>
      <c r="V11" s="136"/>
      <c r="W11" s="516"/>
      <c r="X11" s="517"/>
      <c r="Y11" s="433"/>
    </row>
    <row r="12">
      <c r="B12" s="317">
        <v>46170.0</v>
      </c>
      <c r="C12" s="108"/>
      <c r="D12" s="142">
        <v>25000.0</v>
      </c>
      <c r="E12" s="108" t="s">
        <v>120</v>
      </c>
      <c r="F12" s="174" t="s">
        <v>136</v>
      </c>
      <c r="H12" s="318" t="str">
        <f t="shared" si="1"/>
        <v>Saturday</v>
      </c>
      <c r="I12" s="319">
        <v>46172.0</v>
      </c>
      <c r="J12" s="170">
        <f t="array" ref="J12">sum(IF(($P$3:$P$100=I12), $T$3:$T$100, 0))</f>
        <v>1343</v>
      </c>
      <c r="L12" s="383" t="s">
        <v>136</v>
      </c>
      <c r="M12" s="407">
        <f t="array" ref="M12">N12 - sum(IF(($E$4:$E$49=L12), $D$4:$D$39 + $C$4:$C$39, 0)) + sum(IF(($F$4:$F$49=L12), $D$4:$D$39, 0)) - sum(IF(($S$3:$S$100=L12), $T$3:$T$100, 0))</f>
        <v>2274</v>
      </c>
      <c r="N12" s="326">
        <f t="array" ref="N12">INDIRECT("'" &amp; $E$82 &amp; "'!M12")</f>
        <v>1474</v>
      </c>
      <c r="P12" s="404">
        <v>46170.0</v>
      </c>
      <c r="Q12" s="132" t="s">
        <v>114</v>
      </c>
      <c r="R12" s="132" t="s">
        <v>130</v>
      </c>
      <c r="S12" s="132" t="s">
        <v>12</v>
      </c>
      <c r="T12" s="132">
        <v>840.0</v>
      </c>
      <c r="U12" s="109"/>
      <c r="V12" s="136"/>
      <c r="W12" s="515"/>
      <c r="X12" s="43"/>
      <c r="Y12" s="439"/>
    </row>
    <row r="13">
      <c r="B13" s="317">
        <v>46171.0</v>
      </c>
      <c r="C13" s="108"/>
      <c r="D13" s="142">
        <v>2500.0</v>
      </c>
      <c r="E13" s="108" t="s">
        <v>140</v>
      </c>
      <c r="F13" s="174" t="s">
        <v>12</v>
      </c>
      <c r="H13" s="318" t="str">
        <f t="shared" si="1"/>
        <v>Sunday</v>
      </c>
      <c r="I13" s="319">
        <v>46173.0</v>
      </c>
      <c r="J13" s="170">
        <f t="array" ref="J13">sum(IF(($P$3:$P$100=I13), $T$3:$T$100, 0))</f>
        <v>40</v>
      </c>
      <c r="L13" s="338"/>
      <c r="M13" s="339"/>
      <c r="N13" s="480" t="str">
        <f>'March 26'!M13</f>
        <v/>
      </c>
      <c r="P13" s="404">
        <v>46170.0</v>
      </c>
      <c r="Q13" s="132" t="s">
        <v>134</v>
      </c>
      <c r="R13" s="132" t="s">
        <v>116</v>
      </c>
      <c r="S13" s="132" t="s">
        <v>120</v>
      </c>
      <c r="T13" s="132">
        <v>2500.0</v>
      </c>
      <c r="U13" s="109"/>
      <c r="V13" s="136"/>
      <c r="W13" s="516"/>
      <c r="X13" s="517"/>
      <c r="Y13" s="433"/>
    </row>
    <row r="14">
      <c r="B14" s="317">
        <v>46174.0</v>
      </c>
      <c r="C14" s="108"/>
      <c r="D14" s="142">
        <v>15000.0</v>
      </c>
      <c r="E14" s="108" t="s">
        <v>136</v>
      </c>
      <c r="F14" s="174" t="s">
        <v>51</v>
      </c>
      <c r="H14" s="318" t="str">
        <f t="shared" si="1"/>
        <v>Monday</v>
      </c>
      <c r="I14" s="319">
        <v>46174.0</v>
      </c>
      <c r="J14" s="170">
        <f t="array" ref="J14">sum(IF(($P$3:$P$100=I14), $T$3:$T$100, 0))</f>
        <v>15060</v>
      </c>
      <c r="P14" s="404">
        <v>46165.0</v>
      </c>
      <c r="Q14" s="132" t="s">
        <v>127</v>
      </c>
      <c r="R14" s="132" t="s">
        <v>147</v>
      </c>
      <c r="S14" s="132" t="s">
        <v>12</v>
      </c>
      <c r="T14" s="132">
        <v>180.0</v>
      </c>
      <c r="U14" s="109"/>
      <c r="V14" s="136"/>
      <c r="W14" s="515"/>
      <c r="X14" s="43"/>
      <c r="Y14" s="439"/>
    </row>
    <row r="15">
      <c r="B15" s="317"/>
      <c r="C15" s="108"/>
      <c r="D15" s="142"/>
      <c r="E15" s="108"/>
      <c r="F15" s="174"/>
      <c r="H15" s="318" t="str">
        <f t="shared" si="1"/>
        <v>Tuesday</v>
      </c>
      <c r="I15" s="319">
        <v>46175.0</v>
      </c>
      <c r="J15" s="170">
        <f t="array" ref="J15">sum(IF(($P$3:$P$100=I15), $T$3:$T$100, 0))</f>
        <v>0</v>
      </c>
      <c r="L15" s="137" t="s">
        <v>72</v>
      </c>
      <c r="M15" s="86"/>
      <c r="N15" s="138">
        <f>sum(M17:M22)</f>
        <v>10600</v>
      </c>
      <c r="P15" s="404">
        <v>46169.0</v>
      </c>
      <c r="Q15" s="132" t="s">
        <v>127</v>
      </c>
      <c r="R15" s="132" t="s">
        <v>146</v>
      </c>
      <c r="S15" s="132" t="s">
        <v>12</v>
      </c>
      <c r="T15" s="132">
        <v>30.0</v>
      </c>
      <c r="U15" s="109"/>
      <c r="V15" s="136"/>
      <c r="W15" s="516"/>
      <c r="X15" s="517"/>
      <c r="Y15" s="433"/>
    </row>
    <row r="16">
      <c r="B16" s="317"/>
      <c r="C16" s="142"/>
      <c r="D16" s="142"/>
      <c r="E16" s="108"/>
      <c r="F16" s="174"/>
      <c r="H16" s="318" t="str">
        <f t="shared" si="1"/>
        <v>Wednesday</v>
      </c>
      <c r="I16" s="319">
        <v>46176.0</v>
      </c>
      <c r="J16" s="170">
        <f t="array" ref="J16">sum(IF(($P$3:$P$100=I16), $T$3:$T$100, 0))</f>
        <v>0</v>
      </c>
      <c r="L16" s="139" t="s">
        <v>6</v>
      </c>
      <c r="M16" s="140" t="s">
        <v>74</v>
      </c>
      <c r="N16" s="141" t="s">
        <v>35</v>
      </c>
      <c r="P16" s="404">
        <v>46170.0</v>
      </c>
      <c r="Q16" s="132" t="s">
        <v>134</v>
      </c>
      <c r="R16" s="132" t="s">
        <v>121</v>
      </c>
      <c r="S16" s="132" t="s">
        <v>136</v>
      </c>
      <c r="T16" s="132">
        <v>10000.0</v>
      </c>
      <c r="U16" s="109"/>
      <c r="V16" s="136"/>
      <c r="W16" s="515"/>
      <c r="X16" s="43"/>
      <c r="Y16" s="439"/>
    </row>
    <row r="17">
      <c r="B17" s="317"/>
      <c r="C17" s="108"/>
      <c r="D17" s="108"/>
      <c r="E17" s="108"/>
      <c r="F17" s="174"/>
      <c r="H17" s="318" t="str">
        <f t="shared" si="1"/>
        <v>Thursday</v>
      </c>
      <c r="I17" s="319">
        <v>46177.0</v>
      </c>
      <c r="J17" s="170">
        <f t="array" ref="J17">sum(IF(($P$3:$P$100=I17), $T$3:$T$100, 0))</f>
        <v>0</v>
      </c>
      <c r="L17" s="617">
        <v>45774.0</v>
      </c>
      <c r="M17" s="520">
        <v>2500.0</v>
      </c>
      <c r="N17" s="550" t="s">
        <v>185</v>
      </c>
      <c r="P17" s="404">
        <v>46172.0</v>
      </c>
      <c r="Q17" s="132" t="s">
        <v>123</v>
      </c>
      <c r="R17" s="132" t="s">
        <v>145</v>
      </c>
      <c r="S17" s="132" t="s">
        <v>51</v>
      </c>
      <c r="T17" s="132">
        <f>500+220+140</f>
        <v>860</v>
      </c>
      <c r="U17" s="109" t="s">
        <v>380</v>
      </c>
      <c r="V17" s="136"/>
      <c r="W17" s="516"/>
      <c r="X17" s="517"/>
      <c r="Y17" s="433"/>
    </row>
    <row r="18">
      <c r="B18" s="317"/>
      <c r="C18" s="108"/>
      <c r="D18" s="108"/>
      <c r="E18" s="108"/>
      <c r="F18" s="174"/>
      <c r="H18" s="318" t="str">
        <f t="shared" si="1"/>
        <v>Friday</v>
      </c>
      <c r="I18" s="319">
        <v>46178.0</v>
      </c>
      <c r="J18" s="170">
        <f t="array" ref="J18">sum(IF(($P$3:$P$100=I18), $T$3:$T$100, 0))</f>
        <v>1845</v>
      </c>
      <c r="L18" s="143"/>
      <c r="M18" s="132">
        <v>3000.0</v>
      </c>
      <c r="N18" s="103" t="s">
        <v>187</v>
      </c>
      <c r="P18" s="404">
        <v>46172.0</v>
      </c>
      <c r="Q18" s="132" t="s">
        <v>131</v>
      </c>
      <c r="R18" s="132" t="s">
        <v>23</v>
      </c>
      <c r="S18" s="132" t="s">
        <v>51</v>
      </c>
      <c r="T18" s="132">
        <f>50+40</f>
        <v>90</v>
      </c>
      <c r="U18" s="109" t="s">
        <v>381</v>
      </c>
      <c r="V18" s="136"/>
      <c r="W18" s="515"/>
      <c r="X18" s="43"/>
      <c r="Y18" s="439"/>
    </row>
    <row r="19">
      <c r="B19" s="317"/>
      <c r="C19" s="112"/>
      <c r="D19" s="108"/>
      <c r="E19" s="108"/>
      <c r="F19" s="174"/>
      <c r="H19" s="318" t="str">
        <f t="shared" si="1"/>
        <v>Saturday</v>
      </c>
      <c r="I19" s="319">
        <v>46179.0</v>
      </c>
      <c r="J19" s="170">
        <f t="array" ref="J19">sum(IF(($P$3:$P$100=I19), $T$3:$T$100, 0))</f>
        <v>0</v>
      </c>
      <c r="L19" s="148">
        <v>46168.0</v>
      </c>
      <c r="M19" s="132">
        <v>5100.0</v>
      </c>
      <c r="N19" s="103" t="s">
        <v>382</v>
      </c>
      <c r="P19" s="404">
        <v>46172.0</v>
      </c>
      <c r="Q19" s="132" t="s">
        <v>119</v>
      </c>
      <c r="R19" s="132" t="s">
        <v>141</v>
      </c>
      <c r="S19" s="132" t="s">
        <v>51</v>
      </c>
      <c r="T19" s="132">
        <v>50.0</v>
      </c>
      <c r="U19" s="109" t="s">
        <v>347</v>
      </c>
      <c r="V19" s="136"/>
      <c r="W19" s="516"/>
      <c r="X19" s="517"/>
      <c r="Y19" s="433"/>
    </row>
    <row r="20">
      <c r="B20" s="317"/>
      <c r="C20" s="142"/>
      <c r="D20" s="142"/>
      <c r="E20" s="108"/>
      <c r="F20" s="174"/>
      <c r="H20" s="318" t="str">
        <f t="shared" si="1"/>
        <v>Sunday</v>
      </c>
      <c r="I20" s="319">
        <v>46180.0</v>
      </c>
      <c r="J20" s="170">
        <f t="array" ref="J20">sum(IF(($P$3:$P$100=I20), $T$3:$T$100, 0))</f>
        <v>1530</v>
      </c>
      <c r="L20" s="148"/>
      <c r="M20" s="132"/>
      <c r="N20" s="185"/>
      <c r="P20" s="404">
        <v>46172.0</v>
      </c>
      <c r="Q20" s="132" t="s">
        <v>131</v>
      </c>
      <c r="R20" s="132" t="s">
        <v>148</v>
      </c>
      <c r="S20" s="132" t="s">
        <v>51</v>
      </c>
      <c r="T20" s="132">
        <v>105.0</v>
      </c>
      <c r="U20" s="109"/>
      <c r="V20" s="136"/>
      <c r="W20" s="515"/>
      <c r="X20" s="43"/>
      <c r="Y20" s="439"/>
    </row>
    <row r="21">
      <c r="B21" s="317"/>
      <c r="C21" s="108"/>
      <c r="D21" s="108"/>
      <c r="E21" s="108"/>
      <c r="F21" s="174"/>
      <c r="H21" s="318" t="str">
        <f t="shared" si="1"/>
        <v>Monday</v>
      </c>
      <c r="I21" s="319">
        <v>46181.0</v>
      </c>
      <c r="J21" s="170">
        <f t="array" ref="J21">sum(IF(($P$3:$P$100=I21), $T$3:$T$100, 0))</f>
        <v>0</v>
      </c>
      <c r="L21" s="112"/>
      <c r="M21" s="102"/>
      <c r="N21" s="48"/>
      <c r="P21" s="404">
        <v>46173.0</v>
      </c>
      <c r="Q21" s="132" t="s">
        <v>131</v>
      </c>
      <c r="R21" s="132" t="s">
        <v>23</v>
      </c>
      <c r="S21" s="132" t="s">
        <v>51</v>
      </c>
      <c r="T21" s="132">
        <f>30+10</f>
        <v>40</v>
      </c>
      <c r="U21" s="109"/>
      <c r="V21" s="136"/>
      <c r="W21" s="516"/>
      <c r="X21" s="517"/>
      <c r="Y21" s="433"/>
    </row>
    <row r="22">
      <c r="B22" s="317"/>
      <c r="C22" s="112"/>
      <c r="D22" s="108"/>
      <c r="E22" s="108"/>
      <c r="F22" s="174"/>
      <c r="H22" s="318" t="str">
        <f t="shared" si="1"/>
        <v>Tuesday</v>
      </c>
      <c r="I22" s="319">
        <v>46182.0</v>
      </c>
      <c r="J22" s="170">
        <f t="array" ref="J22">sum(IF(($P$3:$P$100=I22), $T$3:$T$100, 0))</f>
        <v>30</v>
      </c>
      <c r="L22" s="127"/>
      <c r="M22" s="133"/>
      <c r="N22" s="68"/>
      <c r="P22" s="404">
        <v>46174.0</v>
      </c>
      <c r="Q22" s="132" t="s">
        <v>114</v>
      </c>
      <c r="R22" s="132" t="s">
        <v>115</v>
      </c>
      <c r="S22" s="132" t="s">
        <v>51</v>
      </c>
      <c r="T22" s="132">
        <v>13000.0</v>
      </c>
      <c r="U22" s="109"/>
      <c r="V22" s="136"/>
      <c r="W22" s="515"/>
      <c r="X22" s="43"/>
      <c r="Y22" s="439"/>
    </row>
    <row r="23">
      <c r="B23" s="317"/>
      <c r="C23" s="108"/>
      <c r="D23" s="108"/>
      <c r="E23" s="108"/>
      <c r="F23" s="174"/>
      <c r="H23" s="318" t="str">
        <f t="shared" si="1"/>
        <v>Wednesday</v>
      </c>
      <c r="I23" s="319">
        <v>46183.0</v>
      </c>
      <c r="J23" s="170">
        <f t="array" ref="J23">sum(IF(($P$3:$P$100=I23), $T$3:$T$100, 0))</f>
        <v>0</v>
      </c>
      <c r="P23" s="404">
        <v>46174.0</v>
      </c>
      <c r="Q23" s="132" t="s">
        <v>114</v>
      </c>
      <c r="R23" s="132" t="s">
        <v>126</v>
      </c>
      <c r="S23" s="132" t="s">
        <v>51</v>
      </c>
      <c r="T23" s="132">
        <v>1080.0</v>
      </c>
      <c r="U23" s="109"/>
      <c r="V23" s="136"/>
      <c r="W23" s="522"/>
      <c r="X23" s="523"/>
      <c r="Y23" s="444"/>
    </row>
    <row r="24">
      <c r="B24" s="317"/>
      <c r="C24" s="108"/>
      <c r="D24" s="108"/>
      <c r="E24" s="108"/>
      <c r="F24" s="174"/>
      <c r="H24" s="318" t="str">
        <f t="shared" si="1"/>
        <v>Thursday</v>
      </c>
      <c r="I24" s="319">
        <v>46184.0</v>
      </c>
      <c r="J24" s="170">
        <f t="array" ref="J24">sum(IF(($P$3:$P$100=I24), $T$3:$T$100, 0))</f>
        <v>140</v>
      </c>
      <c r="L24" s="137" t="s">
        <v>84</v>
      </c>
      <c r="M24" s="86"/>
      <c r="N24" s="524">
        <f>sum(N26:N31)</f>
        <v>0</v>
      </c>
      <c r="P24" s="404">
        <v>46174.0</v>
      </c>
      <c r="Q24" s="132" t="s">
        <v>114</v>
      </c>
      <c r="R24" s="132" t="s">
        <v>133</v>
      </c>
      <c r="S24" s="132" t="s">
        <v>51</v>
      </c>
      <c r="T24" s="132">
        <v>800.0</v>
      </c>
      <c r="U24" s="109"/>
      <c r="V24" s="136"/>
    </row>
    <row r="25">
      <c r="B25" s="317"/>
      <c r="C25" s="112"/>
      <c r="D25" s="112"/>
      <c r="E25" s="108"/>
      <c r="F25" s="174"/>
      <c r="H25" s="318" t="str">
        <f t="shared" si="1"/>
        <v>Friday</v>
      </c>
      <c r="I25" s="319">
        <v>46185.0</v>
      </c>
      <c r="J25" s="170">
        <f t="array" ref="J25">sum(IF(($P$3:$P$100=I25), $T$3:$T$100, 0))</f>
        <v>0</v>
      </c>
      <c r="L25" s="139" t="s">
        <v>6</v>
      </c>
      <c r="M25" s="140" t="s">
        <v>85</v>
      </c>
      <c r="N25" s="141" t="s">
        <v>35</v>
      </c>
      <c r="P25" s="404">
        <v>46174.0</v>
      </c>
      <c r="Q25" s="132" t="s">
        <v>119</v>
      </c>
      <c r="R25" s="132" t="s">
        <v>141</v>
      </c>
      <c r="S25" s="132" t="s">
        <v>51</v>
      </c>
      <c r="T25" s="132">
        <v>120.0</v>
      </c>
      <c r="U25" s="109"/>
      <c r="V25" s="136"/>
    </row>
    <row r="26">
      <c r="B26" s="317"/>
      <c r="C26" s="112"/>
      <c r="D26" s="112"/>
      <c r="E26" s="108"/>
      <c r="F26" s="174"/>
      <c r="H26" s="318" t="str">
        <f t="shared" si="1"/>
        <v>Saturday</v>
      </c>
      <c r="I26" s="319">
        <v>46186.0</v>
      </c>
      <c r="J26" s="170">
        <f t="array" ref="J26">sum(IF(($P$3:$P$100=I26), $T$3:$T$100, 0))</f>
        <v>0</v>
      </c>
      <c r="L26" s="526"/>
      <c r="M26" s="42"/>
      <c r="N26" s="185"/>
      <c r="P26" s="404">
        <v>46174.0</v>
      </c>
      <c r="Q26" s="132" t="s">
        <v>131</v>
      </c>
      <c r="R26" s="132" t="s">
        <v>148</v>
      </c>
      <c r="S26" s="132" t="s">
        <v>51</v>
      </c>
      <c r="T26" s="132">
        <v>60.0</v>
      </c>
      <c r="U26" s="109"/>
      <c r="V26" s="136"/>
    </row>
    <row r="27">
      <c r="B27" s="317"/>
      <c r="C27" s="112"/>
      <c r="D27" s="112"/>
      <c r="E27" s="108"/>
      <c r="F27" s="174"/>
      <c r="H27" s="318" t="str">
        <f t="shared" si="1"/>
        <v>Sunday</v>
      </c>
      <c r="I27" s="319">
        <v>46187.0</v>
      </c>
      <c r="J27" s="170">
        <f t="array" ref="J27">sum(IF(($P$3:$P$100=I27), $T$3:$T$100, 0))</f>
        <v>0</v>
      </c>
      <c r="L27" s="152"/>
      <c r="M27" s="47"/>
      <c r="N27" s="48"/>
      <c r="P27" s="404">
        <v>46178.0</v>
      </c>
      <c r="Q27" s="132" t="s">
        <v>131</v>
      </c>
      <c r="R27" s="132" t="s">
        <v>131</v>
      </c>
      <c r="S27" s="132" t="s">
        <v>120</v>
      </c>
      <c r="T27" s="132">
        <v>1500.0</v>
      </c>
      <c r="U27" s="109" t="s">
        <v>383</v>
      </c>
      <c r="V27" s="136"/>
    </row>
    <row r="28">
      <c r="B28" s="317"/>
      <c r="C28" s="112"/>
      <c r="D28" s="112"/>
      <c r="E28" s="108"/>
      <c r="F28" s="174"/>
      <c r="H28" s="318" t="str">
        <f t="shared" si="1"/>
        <v>Monday</v>
      </c>
      <c r="I28" s="319">
        <v>46188.0</v>
      </c>
      <c r="J28" s="170">
        <f t="array" ref="J28">sum(IF(($P$3:$P$100=I28), $T$3:$T$100, 0))</f>
        <v>0</v>
      </c>
      <c r="L28" s="152"/>
      <c r="M28" s="47"/>
      <c r="N28" s="48"/>
      <c r="P28" s="404">
        <v>46178.0</v>
      </c>
      <c r="Q28" s="132" t="s">
        <v>131</v>
      </c>
      <c r="R28" s="132" t="s">
        <v>23</v>
      </c>
      <c r="S28" s="132" t="s">
        <v>51</v>
      </c>
      <c r="T28" s="132">
        <f>30+40</f>
        <v>70</v>
      </c>
      <c r="U28" s="109"/>
      <c r="V28" s="136"/>
    </row>
    <row r="29">
      <c r="B29" s="317"/>
      <c r="C29" s="108"/>
      <c r="D29" s="108"/>
      <c r="E29" s="108"/>
      <c r="F29" s="174"/>
      <c r="H29" s="318" t="str">
        <f t="shared" si="1"/>
        <v>Tuesday</v>
      </c>
      <c r="I29" s="319">
        <v>46189.0</v>
      </c>
      <c r="J29" s="170">
        <f t="array" ref="J29">sum(IF(($P$3:$P$100=I29), $T$3:$T$100, 0))</f>
        <v>0</v>
      </c>
      <c r="L29" s="152"/>
      <c r="M29" s="47"/>
      <c r="N29" s="48"/>
      <c r="P29" s="404">
        <v>46178.0</v>
      </c>
      <c r="Q29" s="132" t="s">
        <v>119</v>
      </c>
      <c r="R29" s="132" t="s">
        <v>142</v>
      </c>
      <c r="S29" s="132" t="s">
        <v>51</v>
      </c>
      <c r="T29" s="132">
        <f>30+5+150</f>
        <v>185</v>
      </c>
      <c r="U29" s="109"/>
      <c r="V29" s="136"/>
    </row>
    <row r="30">
      <c r="B30" s="317"/>
      <c r="C30" s="112"/>
      <c r="D30" s="112"/>
      <c r="E30" s="108"/>
      <c r="F30" s="174"/>
      <c r="H30" s="318" t="str">
        <f t="shared" si="1"/>
        <v>Wednesday</v>
      </c>
      <c r="I30" s="319">
        <v>46190.0</v>
      </c>
      <c r="J30" s="170">
        <f t="array" ref="J30">sum(IF(($P$3:$P$100=I30), $T$3:$T$100, 0))</f>
        <v>0</v>
      </c>
      <c r="L30" s="152"/>
      <c r="M30" s="47"/>
      <c r="N30" s="48"/>
      <c r="P30" s="404">
        <v>46178.0</v>
      </c>
      <c r="Q30" s="132" t="s">
        <v>131</v>
      </c>
      <c r="R30" s="132" t="s">
        <v>148</v>
      </c>
      <c r="S30" s="132" t="s">
        <v>51</v>
      </c>
      <c r="T30" s="132">
        <f>90</f>
        <v>90</v>
      </c>
      <c r="U30" s="109"/>
      <c r="V30" s="136"/>
    </row>
    <row r="31">
      <c r="B31" s="317"/>
      <c r="C31" s="108"/>
      <c r="D31" s="108"/>
      <c r="E31" s="108"/>
      <c r="F31" s="174"/>
      <c r="H31" s="318" t="str">
        <f t="shared" si="1"/>
        <v>Thursday</v>
      </c>
      <c r="I31" s="319">
        <v>46191.0</v>
      </c>
      <c r="J31" s="170">
        <f t="array" ref="J31">sum(IF(($P$3:$P$100=I31), $T$3:$T$100, 0))</f>
        <v>0</v>
      </c>
      <c r="L31" s="153"/>
      <c r="M31" s="154"/>
      <c r="N31" s="68"/>
      <c r="P31" s="404">
        <v>46180.0</v>
      </c>
      <c r="Q31" s="132" t="s">
        <v>131</v>
      </c>
      <c r="R31" s="132" t="s">
        <v>131</v>
      </c>
      <c r="S31" s="132" t="s">
        <v>51</v>
      </c>
      <c r="T31" s="132">
        <f>1200+150+180</f>
        <v>1530</v>
      </c>
      <c r="U31" s="109" t="s">
        <v>384</v>
      </c>
      <c r="V31" s="136"/>
    </row>
    <row r="32">
      <c r="B32" s="317"/>
      <c r="C32" s="108"/>
      <c r="D32" s="108"/>
      <c r="E32" s="108"/>
      <c r="F32" s="174"/>
      <c r="H32" s="318" t="str">
        <f t="shared" si="1"/>
        <v>Friday</v>
      </c>
      <c r="I32" s="319">
        <v>46192.0</v>
      </c>
      <c r="J32" s="170">
        <f t="array" ref="J32">sum(IF(($P$3:$P$100=I32), $T$3:$T$100, 0))</f>
        <v>0</v>
      </c>
      <c r="P32" s="404">
        <v>46184.0</v>
      </c>
      <c r="Q32" s="132" t="s">
        <v>131</v>
      </c>
      <c r="R32" s="132" t="s">
        <v>148</v>
      </c>
      <c r="S32" s="132" t="s">
        <v>51</v>
      </c>
      <c r="T32" s="132">
        <v>140.0</v>
      </c>
      <c r="U32" s="109"/>
      <c r="V32" s="136"/>
    </row>
    <row r="33">
      <c r="B33" s="317"/>
      <c r="C33" s="108"/>
      <c r="D33" s="108"/>
      <c r="E33" s="108"/>
      <c r="F33" s="174"/>
      <c r="H33" s="318" t="str">
        <f t="shared" si="1"/>
        <v>Saturday</v>
      </c>
      <c r="I33" s="319">
        <v>46193.0</v>
      </c>
      <c r="J33" s="170">
        <f t="array" ref="J33">sum(IF(($P$3:$P$100=I33), $T$3:$T$100, 0))</f>
        <v>0</v>
      </c>
      <c r="L33" s="137" t="s">
        <v>134</v>
      </c>
      <c r="M33" s="86"/>
      <c r="N33" s="138">
        <f>sum(M35:M39)</f>
        <v>165000</v>
      </c>
      <c r="P33" s="404">
        <v>46182.0</v>
      </c>
      <c r="Q33" s="132" t="s">
        <v>127</v>
      </c>
      <c r="R33" s="132" t="s">
        <v>146</v>
      </c>
      <c r="S33" s="132" t="s">
        <v>12</v>
      </c>
      <c r="T33" s="132">
        <f>30</f>
        <v>30</v>
      </c>
      <c r="U33" s="109"/>
      <c r="V33" s="136"/>
    </row>
    <row r="34">
      <c r="B34" s="317"/>
      <c r="C34" s="112"/>
      <c r="D34" s="112"/>
      <c r="E34" s="108"/>
      <c r="F34" s="174"/>
      <c r="H34" s="318" t="str">
        <f t="shared" si="1"/>
        <v>Sunday</v>
      </c>
      <c r="I34" s="319">
        <v>46194.0</v>
      </c>
      <c r="J34" s="170">
        <f t="array" ref="J34">sum(IF(($P$3:$P$100=I34), $T$3:$T$100, 0))</f>
        <v>0</v>
      </c>
      <c r="L34" s="565" t="s">
        <v>39</v>
      </c>
      <c r="M34" s="566" t="s">
        <v>243</v>
      </c>
      <c r="N34" s="567" t="s">
        <v>244</v>
      </c>
      <c r="P34" s="404">
        <v>46172.0</v>
      </c>
      <c r="Q34" s="132" t="s">
        <v>127</v>
      </c>
      <c r="R34" s="132" t="s">
        <v>147</v>
      </c>
      <c r="S34" s="132" t="s">
        <v>12</v>
      </c>
      <c r="T34" s="132">
        <f>30+208</f>
        <v>238</v>
      </c>
      <c r="U34" s="109"/>
      <c r="V34" s="136"/>
    </row>
    <row r="35">
      <c r="B35" s="317"/>
      <c r="C35" s="112"/>
      <c r="D35" s="112"/>
      <c r="E35" s="108"/>
      <c r="F35" s="174"/>
      <c r="H35" s="568" t="str">
        <f t="shared" si="1"/>
        <v>Monday</v>
      </c>
      <c r="I35" s="319">
        <v>46195.0</v>
      </c>
      <c r="J35" s="170">
        <f t="array" ref="J35">sum(IF(($P$3:$P$100=I35), $T$3:$T$100, 0))</f>
        <v>0</v>
      </c>
      <c r="L35" s="570" t="str">
        <f t="array" ref="L35:L39">INDIRECT("SavingsAcc")</f>
        <v>EximBank_2.5</v>
      </c>
      <c r="M35" s="571">
        <f t="array" ref="M35">N35+sum(IF(($R$3:$R$100=L35), $T$3:$T$100, 0))</f>
        <v>45000</v>
      </c>
      <c r="N35" s="572">
        <f t="array" ref="N35">INDIRECT("'" &amp; $E$82 &amp; "'!M35")</f>
        <v>42500</v>
      </c>
      <c r="P35" s="404"/>
      <c r="Q35" s="132"/>
      <c r="R35" s="132"/>
      <c r="S35" s="132"/>
      <c r="T35" s="132"/>
      <c r="U35" s="109"/>
      <c r="V35" s="136"/>
    </row>
    <row r="36">
      <c r="B36" s="317"/>
      <c r="C36" s="112"/>
      <c r="D36" s="112"/>
      <c r="E36" s="108"/>
      <c r="F36" s="174"/>
      <c r="H36" s="568" t="str">
        <f t="shared" si="1"/>
        <v>Tuesday</v>
      </c>
      <c r="I36" s="319">
        <v>46196.0</v>
      </c>
      <c r="J36" s="575">
        <f t="array" ref="J36">sum(IF(($P$3:$P$100=I36), $T$3:$T$100, 0))</f>
        <v>0</v>
      </c>
      <c r="L36" s="576" t="s">
        <v>121</v>
      </c>
      <c r="M36" s="316">
        <f t="array" ref="M36">N36+sum(IF(($R$3:$R$100=L36), $T$3:$T$100, 0))</f>
        <v>20000</v>
      </c>
      <c r="N36" s="341">
        <f t="array" ref="N36">INDIRECT("'" &amp; $E$82 &amp; "'!M36")</f>
        <v>10000</v>
      </c>
      <c r="P36" s="404"/>
      <c r="Q36" s="132"/>
      <c r="R36" s="132"/>
      <c r="S36" s="132"/>
      <c r="T36" s="132"/>
      <c r="U36" s="109"/>
      <c r="V36" s="136"/>
    </row>
    <row r="37">
      <c r="B37" s="317"/>
      <c r="C37" s="112"/>
      <c r="D37" s="112"/>
      <c r="E37" s="108"/>
      <c r="F37" s="174"/>
      <c r="H37" s="568" t="str">
        <f t="shared" si="1"/>
        <v>Wednesday</v>
      </c>
      <c r="I37" s="319">
        <v>46197.0</v>
      </c>
      <c r="J37" s="575">
        <f t="array" ref="J37">sum(IF(($P$3:$P$100=I37), $T$3:$T$100, 0))</f>
        <v>0</v>
      </c>
      <c r="L37" s="577" t="s">
        <v>125</v>
      </c>
      <c r="M37" s="316">
        <f t="array" ref="M37">N37+sum(IF(($R$3:$R$100=L37), $T$3:$T$100, 0))</f>
        <v>0</v>
      </c>
      <c r="N37" s="341">
        <f t="array" ref="N37">INDIRECT("'" &amp; $E$82 &amp; "'!M37")</f>
        <v>0</v>
      </c>
      <c r="P37" s="404"/>
      <c r="Q37" s="132"/>
      <c r="R37" s="132"/>
      <c r="S37" s="132"/>
      <c r="T37" s="132"/>
      <c r="U37" s="109"/>
      <c r="V37" s="136"/>
    </row>
    <row r="38">
      <c r="B38" s="317"/>
      <c r="C38" s="112"/>
      <c r="D38" s="112"/>
      <c r="E38" s="108"/>
      <c r="F38" s="174"/>
      <c r="H38" s="568" t="str">
        <f t="shared" si="1"/>
        <v>Thursday</v>
      </c>
      <c r="I38" s="319">
        <v>46198.0</v>
      </c>
      <c r="J38" s="575">
        <f t="array" ref="J38">sum(IF(($P$3:$P$100=I38), $T$3:$T$100, 0))</f>
        <v>0</v>
      </c>
      <c r="L38" s="577" t="s">
        <v>129</v>
      </c>
      <c r="M38" s="578">
        <f t="array" ref="M38">N38+sum(IF(($R$3:$R$100=L38), $T$3:$T$100, 0))</f>
        <v>50000</v>
      </c>
      <c r="N38" s="345">
        <f t="array" ref="N38">INDIRECT("'" &amp; $E$82 &amp; "'!M38")</f>
        <v>50000</v>
      </c>
      <c r="P38" s="404"/>
      <c r="Q38" s="132"/>
      <c r="R38" s="132"/>
      <c r="S38" s="132"/>
      <c r="T38" s="132"/>
      <c r="U38" s="481"/>
      <c r="V38" s="136"/>
    </row>
    <row r="39">
      <c r="B39" s="191"/>
      <c r="C39" s="127"/>
      <c r="D39" s="123"/>
      <c r="E39" s="123"/>
      <c r="F39" s="192"/>
      <c r="H39" s="568" t="str">
        <f t="shared" si="1"/>
        <v>Friday</v>
      </c>
      <c r="I39" s="569">
        <v>46199.0</v>
      </c>
      <c r="J39" s="575">
        <f t="array" ref="J39">sum(IF(($P$3:$P$100=I39), $T$3:$T$100, 0))</f>
        <v>0</v>
      </c>
      <c r="L39" s="579" t="s">
        <v>132</v>
      </c>
      <c r="M39" s="580">
        <f t="array" ref="M39">N39+sum(IF(($R$3:$R$100=L39), $T$3:$T$100, 0))</f>
        <v>50000</v>
      </c>
      <c r="N39" s="618">
        <f t="array" ref="N39">INDIRECT("'" &amp; $E$82 &amp; "'!M39")</f>
        <v>50000</v>
      </c>
      <c r="P39" s="404"/>
      <c r="Q39" s="132"/>
      <c r="R39" s="132"/>
      <c r="S39" s="132"/>
      <c r="T39" s="132"/>
      <c r="U39" s="109"/>
      <c r="V39" s="136"/>
    </row>
    <row r="40">
      <c r="P40" s="404"/>
      <c r="Q40" s="132"/>
      <c r="R40" s="132"/>
      <c r="S40" s="132"/>
      <c r="T40" s="132"/>
      <c r="U40" s="481"/>
      <c r="V40" s="136"/>
    </row>
    <row r="41">
      <c r="P41" s="404"/>
      <c r="Q41" s="132"/>
      <c r="R41" s="132"/>
      <c r="S41" s="132"/>
      <c r="T41" s="132"/>
      <c r="U41" s="109"/>
      <c r="V41" s="136"/>
    </row>
    <row r="42">
      <c r="B42" s="409" t="s">
        <v>173</v>
      </c>
      <c r="C42" s="410"/>
      <c r="D42" s="410"/>
      <c r="E42" s="410"/>
      <c r="F42" s="410"/>
      <c r="G42" s="410"/>
      <c r="H42" s="411"/>
      <c r="I42" s="527"/>
      <c r="J42" s="409"/>
      <c r="K42" s="411"/>
      <c r="L42" s="412"/>
      <c r="M42" s="557" t="s">
        <v>348</v>
      </c>
      <c r="P42" s="404"/>
      <c r="Q42" s="132"/>
      <c r="R42" s="132"/>
      <c r="S42" s="132"/>
      <c r="T42" s="132"/>
      <c r="U42" s="109"/>
      <c r="V42" s="136"/>
    </row>
    <row r="43">
      <c r="B43" s="413"/>
      <c r="C43" s="414"/>
      <c r="D43" s="414"/>
      <c r="E43" s="414"/>
      <c r="F43" s="414"/>
      <c r="G43" s="414"/>
      <c r="H43" s="415"/>
      <c r="I43" s="51"/>
      <c r="J43" s="413"/>
      <c r="K43" s="415"/>
      <c r="L43" s="51"/>
      <c r="M43" s="51"/>
      <c r="P43" s="404"/>
      <c r="Q43" s="132"/>
      <c r="R43" s="132"/>
      <c r="S43" s="132"/>
      <c r="T43" s="132"/>
      <c r="U43" s="109"/>
      <c r="V43" s="136"/>
    </row>
    <row r="44">
      <c r="B44" s="482" t="s">
        <v>107</v>
      </c>
      <c r="C44" s="417"/>
      <c r="D44" s="418"/>
      <c r="E44" s="483" t="s">
        <v>43</v>
      </c>
      <c r="F44" s="484" t="s">
        <v>108</v>
      </c>
      <c r="G44" s="417"/>
      <c r="H44" s="418"/>
      <c r="I44" s="619" t="s">
        <v>43</v>
      </c>
      <c r="J44" s="620" t="s">
        <v>4</v>
      </c>
      <c r="K44" s="460"/>
      <c r="L44" s="486" t="s">
        <v>206</v>
      </c>
      <c r="M44" s="486" t="s">
        <v>349</v>
      </c>
      <c r="P44" s="404"/>
      <c r="Q44" s="132"/>
      <c r="R44" s="132"/>
      <c r="S44" s="132"/>
      <c r="T44" s="132"/>
      <c r="U44" s="109"/>
      <c r="V44" s="136"/>
    </row>
    <row r="45">
      <c r="B45" s="447" t="s">
        <v>114</v>
      </c>
      <c r="C45" s="424"/>
      <c r="D45" s="425"/>
      <c r="E45" s="621">
        <f>Sum(I45:I50)</f>
        <v>17170</v>
      </c>
      <c r="F45" s="448" t="str">
        <f t="array" ref="F45:F73">INDIRECT("Subcategory")</f>
        <v>HouseRent</v>
      </c>
      <c r="G45" s="424"/>
      <c r="H45" s="425"/>
      <c r="I45" s="426">
        <v>13000.0</v>
      </c>
      <c r="J45" s="622">
        <f t="array" ref="J45">sum(IF(($R$3:$R$100=F45), $T$3:$T$100, 0))</f>
        <v>13000</v>
      </c>
      <c r="K45" s="425"/>
      <c r="L45" s="583">
        <f>sum(J45:J50)</f>
        <v>16720</v>
      </c>
      <c r="M45" s="560"/>
      <c r="P45" s="404"/>
      <c r="Q45" s="132"/>
      <c r="R45" s="132"/>
      <c r="S45" s="132"/>
      <c r="T45" s="132"/>
      <c r="U45" s="109"/>
      <c r="V45" s="136"/>
    </row>
    <row r="46">
      <c r="B46" s="432"/>
      <c r="D46" s="433"/>
      <c r="E46" s="434"/>
      <c r="F46" s="451" t="s">
        <v>118</v>
      </c>
      <c r="H46" s="433"/>
      <c r="I46" s="623">
        <v>1000.0</v>
      </c>
      <c r="J46" s="624">
        <f t="array" ref="J46">sum(IF(($R$3:$R$100=F46), $T$3:$T$100, 0))</f>
        <v>1000</v>
      </c>
      <c r="K46" s="433"/>
      <c r="L46" s="433"/>
      <c r="M46" s="559" t="str">
        <f>DATESTATUS(E84,F84)</f>
        <v>Expired</v>
      </c>
      <c r="P46" s="404"/>
      <c r="Q46" s="132"/>
      <c r="R46" s="132"/>
      <c r="S46" s="132"/>
      <c r="T46" s="132"/>
      <c r="U46" s="109"/>
      <c r="V46" s="136"/>
    </row>
    <row r="47">
      <c r="B47" s="438"/>
      <c r="D47" s="439"/>
      <c r="E47" s="37"/>
      <c r="F47" s="454" t="s">
        <v>122</v>
      </c>
      <c r="H47" s="439"/>
      <c r="I47" s="625">
        <v>450.0</v>
      </c>
      <c r="J47" s="626">
        <f t="array" ref="J47">sum(IF(($R$3:$R$100=F47), $T$3:$T$100, 0))</f>
        <v>0</v>
      </c>
      <c r="K47" s="439"/>
      <c r="L47" s="439"/>
      <c r="M47" s="560" t="str">
        <f>DATESTATUS(E83,F83)</f>
        <v>Start in 6</v>
      </c>
      <c r="P47" s="404"/>
      <c r="Q47" s="132"/>
      <c r="R47" s="132"/>
      <c r="S47" s="132"/>
      <c r="T47" s="132"/>
      <c r="U47" s="109"/>
      <c r="V47" s="136"/>
    </row>
    <row r="48">
      <c r="B48" s="432"/>
      <c r="D48" s="433"/>
      <c r="E48" s="434"/>
      <c r="F48" s="451" t="s">
        <v>126</v>
      </c>
      <c r="H48" s="433"/>
      <c r="I48" s="627">
        <v>1080.0</v>
      </c>
      <c r="J48" s="624">
        <f t="array" ref="J48">sum(IF(($R$3:$R$100=F48), $T$3:$T$100, 0))</f>
        <v>1080</v>
      </c>
      <c r="K48" s="433"/>
      <c r="L48" s="433"/>
      <c r="M48" s="559"/>
      <c r="P48" s="404"/>
      <c r="Q48" s="132"/>
      <c r="R48" s="132"/>
      <c r="S48" s="132"/>
      <c r="T48" s="132"/>
      <c r="U48" s="109"/>
      <c r="V48" s="136"/>
    </row>
    <row r="49">
      <c r="B49" s="438"/>
      <c r="D49" s="439"/>
      <c r="E49" s="37"/>
      <c r="F49" s="454" t="s">
        <v>130</v>
      </c>
      <c r="H49" s="439"/>
      <c r="I49" s="625">
        <v>840.0</v>
      </c>
      <c r="J49" s="626">
        <f t="array" ref="J49">sum(IF(($R$3:$R$100=F49), $T$3:$T$100, 0))</f>
        <v>840</v>
      </c>
      <c r="K49" s="439"/>
      <c r="L49" s="439"/>
      <c r="M49" s="560" t="str">
        <f>DATESTATUS(E85,F85)</f>
        <v>Expired</v>
      </c>
      <c r="P49" s="404"/>
      <c r="Q49" s="132"/>
      <c r="R49" s="132"/>
      <c r="S49" s="132"/>
      <c r="T49" s="132"/>
      <c r="U49" s="109"/>
      <c r="V49" s="136"/>
    </row>
    <row r="50">
      <c r="B50" s="442"/>
      <c r="C50" s="443"/>
      <c r="D50" s="444"/>
      <c r="E50" s="445"/>
      <c r="F50" s="455" t="s">
        <v>133</v>
      </c>
      <c r="G50" s="443"/>
      <c r="H50" s="444"/>
      <c r="I50" s="627">
        <v>800.0</v>
      </c>
      <c r="J50" s="624">
        <f t="array" ref="J50">sum(IF(($R$3:$R$100=F50), $T$3:$T$100, 0))</f>
        <v>800</v>
      </c>
      <c r="K50" s="433"/>
      <c r="L50" s="444"/>
      <c r="M50" s="559"/>
      <c r="P50" s="404"/>
      <c r="Q50" s="132"/>
      <c r="R50" s="132"/>
      <c r="S50" s="132"/>
      <c r="T50" s="132"/>
      <c r="U50" s="109"/>
      <c r="V50" s="136"/>
    </row>
    <row r="51">
      <c r="B51" s="447" t="s">
        <v>119</v>
      </c>
      <c r="C51" s="424"/>
      <c r="D51" s="425"/>
      <c r="E51" s="431">
        <f>Sum(I51:I54)</f>
        <v>16000</v>
      </c>
      <c r="F51" s="448" t="s">
        <v>135</v>
      </c>
      <c r="G51" s="424"/>
      <c r="H51" s="425"/>
      <c r="I51" s="621">
        <v>4500.0</v>
      </c>
      <c r="J51" s="468">
        <f t="array" ref="J51">sum(IF(($R$3:$R$100=F51), $T$3:$T$100, 0))</f>
        <v>2950</v>
      </c>
      <c r="K51" s="425"/>
      <c r="L51" s="583">
        <f>sum(J51:J54)</f>
        <v>13915</v>
      </c>
      <c r="M51" s="558"/>
      <c r="P51" s="404"/>
      <c r="Q51" s="132"/>
      <c r="R51" s="132"/>
      <c r="S51" s="132"/>
      <c r="T51" s="132"/>
      <c r="U51" s="109"/>
      <c r="V51" s="136"/>
    </row>
    <row r="52">
      <c r="B52" s="432"/>
      <c r="D52" s="433"/>
      <c r="E52" s="434"/>
      <c r="F52" s="451" t="s">
        <v>138</v>
      </c>
      <c r="H52" s="433"/>
      <c r="I52" s="628">
        <v>1000.0</v>
      </c>
      <c r="J52" s="586">
        <f t="array" ref="J52">sum(IF(($R$3:$R$100=F52), $T$3:$T$100, 0))</f>
        <v>410</v>
      </c>
      <c r="K52" s="433"/>
      <c r="L52" s="433"/>
      <c r="M52" s="559"/>
      <c r="P52" s="404"/>
      <c r="Q52" s="132"/>
      <c r="R52" s="132"/>
      <c r="S52" s="132"/>
      <c r="T52" s="132"/>
      <c r="U52" s="113"/>
      <c r="V52" s="136"/>
    </row>
    <row r="53">
      <c r="B53" s="438"/>
      <c r="D53" s="439"/>
      <c r="E53" s="37"/>
      <c r="F53" s="454" t="s">
        <v>141</v>
      </c>
      <c r="H53" s="439"/>
      <c r="I53" s="629">
        <v>10000.0</v>
      </c>
      <c r="J53" s="589">
        <f t="array" ref="J53">sum(IF(($R$3:$R$100=F53), $T$3:$T$100, 0))</f>
        <v>10370</v>
      </c>
      <c r="K53" s="439"/>
      <c r="L53" s="439"/>
      <c r="M53" s="560"/>
      <c r="P53" s="404"/>
      <c r="Q53" s="132"/>
      <c r="R53" s="132"/>
      <c r="S53" s="132"/>
      <c r="T53" s="132"/>
      <c r="U53" s="109"/>
      <c r="V53" s="136"/>
    </row>
    <row r="54">
      <c r="B54" s="442"/>
      <c r="C54" s="443"/>
      <c r="D54" s="444"/>
      <c r="E54" s="445"/>
      <c r="F54" s="455" t="s">
        <v>142</v>
      </c>
      <c r="G54" s="443"/>
      <c r="H54" s="444"/>
      <c r="I54" s="628">
        <v>500.0</v>
      </c>
      <c r="J54" s="586">
        <f t="array" ref="J54">sum(IF(($R$3:$R$100=F54), $T$3:$T$100, 0))</f>
        <v>185</v>
      </c>
      <c r="K54" s="433"/>
      <c r="L54" s="444"/>
      <c r="M54" s="630"/>
      <c r="P54" s="404"/>
      <c r="Q54" s="132"/>
      <c r="R54" s="132"/>
      <c r="S54" s="132"/>
      <c r="T54" s="132"/>
      <c r="U54" s="109"/>
      <c r="V54" s="136"/>
    </row>
    <row r="55">
      <c r="B55" s="447" t="s">
        <v>123</v>
      </c>
      <c r="C55" s="424"/>
      <c r="D55" s="425"/>
      <c r="E55" s="431">
        <f>sum(I55:I57)</f>
        <v>1500</v>
      </c>
      <c r="F55" s="448" t="s">
        <v>123</v>
      </c>
      <c r="G55" s="424"/>
      <c r="H55" s="425"/>
      <c r="I55" s="631">
        <v>0.0</v>
      </c>
      <c r="J55" s="468">
        <f t="array" ref="J55">sum(IF(($R$3:$R$100=F55), $T$3:$T$100, 0))</f>
        <v>0</v>
      </c>
      <c r="K55" s="425"/>
      <c r="L55" s="583">
        <f>sum(J55:J58)</f>
        <v>1005</v>
      </c>
      <c r="M55" s="558"/>
      <c r="P55" s="404"/>
      <c r="Q55" s="132"/>
      <c r="R55" s="132"/>
      <c r="S55" s="132"/>
      <c r="T55" s="132"/>
      <c r="U55" s="109"/>
      <c r="V55" s="136"/>
    </row>
    <row r="56">
      <c r="B56" s="432"/>
      <c r="D56" s="433"/>
      <c r="E56" s="434"/>
      <c r="F56" s="451" t="s">
        <v>144</v>
      </c>
      <c r="H56" s="433"/>
      <c r="I56" s="628">
        <v>500.0</v>
      </c>
      <c r="J56" s="586">
        <f t="array" ref="J56">sum(IF(($R$3:$R$100=F56), $T$3:$T$100, 0))</f>
        <v>85</v>
      </c>
      <c r="K56" s="433"/>
      <c r="L56" s="433"/>
      <c r="M56" s="559"/>
      <c r="P56" s="404"/>
      <c r="Q56" s="132"/>
      <c r="R56" s="132"/>
      <c r="S56" s="132"/>
      <c r="T56" s="132"/>
      <c r="U56" s="113"/>
      <c r="V56" s="136"/>
    </row>
    <row r="57">
      <c r="B57" s="413"/>
      <c r="C57" s="414"/>
      <c r="D57" s="415"/>
      <c r="E57" s="51"/>
      <c r="F57" s="457" t="s">
        <v>145</v>
      </c>
      <c r="G57" s="414"/>
      <c r="H57" s="415"/>
      <c r="I57" s="629">
        <v>1000.0</v>
      </c>
      <c r="J57" s="589">
        <f t="array" ref="J57">sum(IF(($R$3:$R$100=F57), $T$3:$T$100, 0))</f>
        <v>860</v>
      </c>
      <c r="K57" s="439"/>
      <c r="L57" s="415"/>
      <c r="M57" s="632"/>
      <c r="P57" s="404"/>
      <c r="Q57" s="132"/>
      <c r="R57" s="132"/>
      <c r="S57" s="132"/>
      <c r="T57" s="132"/>
      <c r="U57" s="113"/>
      <c r="V57" s="136"/>
    </row>
    <row r="58">
      <c r="B58" s="458" t="s">
        <v>127</v>
      </c>
      <c r="C58" s="459"/>
      <c r="D58" s="460"/>
      <c r="E58" s="461">
        <f>I58+I59</f>
        <v>500</v>
      </c>
      <c r="F58" s="462" t="s">
        <v>146</v>
      </c>
      <c r="G58" s="459"/>
      <c r="H58" s="460"/>
      <c r="I58" s="633">
        <v>100.0</v>
      </c>
      <c r="J58" s="470">
        <f t="array" ref="J58">sum(IF(($R$3:$R$100=F58), $T$3:$T$100, 0))</f>
        <v>60</v>
      </c>
      <c r="K58" s="460"/>
      <c r="L58" s="591">
        <f>J58+J59</f>
        <v>478</v>
      </c>
      <c r="M58" s="634"/>
      <c r="P58" s="404"/>
      <c r="Q58" s="132"/>
      <c r="R58" s="132"/>
      <c r="S58" s="132"/>
      <c r="T58" s="132"/>
      <c r="U58" s="113"/>
      <c r="V58" s="136"/>
    </row>
    <row r="59">
      <c r="B59" s="413"/>
      <c r="C59" s="414"/>
      <c r="D59" s="415"/>
      <c r="E59" s="51"/>
      <c r="F59" s="454" t="s">
        <v>147</v>
      </c>
      <c r="H59" s="439"/>
      <c r="I59" s="625">
        <v>400.0</v>
      </c>
      <c r="J59" s="589">
        <f t="array" ref="J59">sum(IF(($R$3:$R$100=F59), $T$3:$T$100, 0))</f>
        <v>418</v>
      </c>
      <c r="K59" s="439"/>
      <c r="L59" s="415"/>
      <c r="M59" s="632"/>
      <c r="P59" s="404"/>
      <c r="Q59" s="132"/>
      <c r="R59" s="132"/>
      <c r="S59" s="132"/>
      <c r="T59" s="132"/>
      <c r="U59" s="113"/>
      <c r="V59" s="136"/>
    </row>
    <row r="60">
      <c r="B60" s="458" t="s">
        <v>131</v>
      </c>
      <c r="C60" s="459"/>
      <c r="D60" s="460"/>
      <c r="E60" s="467">
        <f>I60+I61+I62+I63+I64</f>
        <v>4500</v>
      </c>
      <c r="F60" s="462" t="s">
        <v>148</v>
      </c>
      <c r="G60" s="459"/>
      <c r="H60" s="460"/>
      <c r="I60" s="461">
        <v>500.0</v>
      </c>
      <c r="J60" s="470">
        <f t="array" ref="J60">sum(IF(($R$3:$R$100=F60), $T$3:$T$100, 0))</f>
        <v>520</v>
      </c>
      <c r="K60" s="460"/>
      <c r="L60" s="591">
        <f>J60+J61+J62+J63+J64</f>
        <v>5650</v>
      </c>
      <c r="M60" s="634"/>
      <c r="P60" s="404"/>
      <c r="Q60" s="132"/>
      <c r="R60" s="132"/>
      <c r="S60" s="132"/>
      <c r="T60" s="132"/>
      <c r="U60" s="113"/>
      <c r="V60" s="136"/>
    </row>
    <row r="61">
      <c r="B61" s="438"/>
      <c r="D61" s="439"/>
      <c r="E61" s="438"/>
      <c r="F61" s="454" t="s">
        <v>23</v>
      </c>
      <c r="H61" s="439"/>
      <c r="I61" s="629">
        <v>1000.0</v>
      </c>
      <c r="J61" s="589">
        <f t="array" ref="J61">sum(IF(($R$3:$R$100=F61), $T$3:$T$100, 0))</f>
        <v>200</v>
      </c>
      <c r="K61" s="439"/>
      <c r="L61" s="439"/>
      <c r="M61" s="560"/>
      <c r="P61" s="404"/>
      <c r="Q61" s="132"/>
      <c r="R61" s="132"/>
      <c r="S61" s="132"/>
      <c r="T61" s="132"/>
      <c r="U61" s="113"/>
      <c r="V61" s="136"/>
    </row>
    <row r="62">
      <c r="B62" s="432"/>
      <c r="D62" s="433"/>
      <c r="E62" s="432"/>
      <c r="F62" s="451" t="s">
        <v>149</v>
      </c>
      <c r="H62" s="433"/>
      <c r="I62" s="623">
        <v>0.0</v>
      </c>
      <c r="J62" s="586">
        <f t="array" ref="J62">sum(IF(($R$3:$R$100=F62), $T$3:$T$100, 0))</f>
        <v>0</v>
      </c>
      <c r="K62" s="433"/>
      <c r="L62" s="433"/>
      <c r="M62" s="559" t="str">
        <f>DATESTATUS(E86,F86)</f>
        <v>Expired</v>
      </c>
      <c r="P62" s="404"/>
      <c r="Q62" s="132"/>
      <c r="R62" s="132"/>
      <c r="S62" s="132"/>
      <c r="T62" s="132"/>
      <c r="U62" s="113"/>
      <c r="V62" s="136"/>
    </row>
    <row r="63">
      <c r="B63" s="438"/>
      <c r="D63" s="439"/>
      <c r="E63" s="438"/>
      <c r="F63" s="454" t="s">
        <v>150</v>
      </c>
      <c r="H63" s="439"/>
      <c r="I63" s="625">
        <v>0.0</v>
      </c>
      <c r="J63" s="589">
        <f t="array" ref="J63">sum(IF(($R$3:$R$100=F63), $T$3:$T$100, 0))</f>
        <v>0</v>
      </c>
      <c r="K63" s="439"/>
      <c r="L63" s="439"/>
      <c r="M63" s="560"/>
      <c r="P63" s="404"/>
      <c r="Q63" s="132"/>
      <c r="R63" s="132"/>
      <c r="S63" s="132"/>
      <c r="T63" s="132"/>
      <c r="U63" s="109"/>
      <c r="V63" s="136"/>
    </row>
    <row r="64">
      <c r="B64" s="442"/>
      <c r="C64" s="443"/>
      <c r="D64" s="444"/>
      <c r="E64" s="442"/>
      <c r="F64" s="451" t="s">
        <v>131</v>
      </c>
      <c r="H64" s="433"/>
      <c r="I64" s="623">
        <v>3000.0</v>
      </c>
      <c r="J64" s="586">
        <f t="array" ref="J64">sum(IF(($R$3:$R$100=F64), $T$3:$T$100, 0))</f>
        <v>4930</v>
      </c>
      <c r="K64" s="433"/>
      <c r="L64" s="444"/>
      <c r="M64" s="630"/>
      <c r="P64" s="404"/>
      <c r="Q64" s="132"/>
      <c r="R64" s="132"/>
      <c r="S64" s="132"/>
      <c r="T64" s="132"/>
      <c r="U64" s="113"/>
      <c r="V64" s="136"/>
    </row>
    <row r="65">
      <c r="B65" s="447" t="s">
        <v>134</v>
      </c>
      <c r="C65" s="424"/>
      <c r="D65" s="425"/>
      <c r="E65" s="431">
        <f>sum(I65:I68)</f>
        <v>22500</v>
      </c>
      <c r="F65" s="581" t="s">
        <v>116</v>
      </c>
      <c r="G65" s="424"/>
      <c r="H65" s="425"/>
      <c r="I65" s="635">
        <v>2500.0</v>
      </c>
      <c r="J65" s="468">
        <f t="array" ref="J65">sum(IF(($R$3:$R$100=F65), $T$3:$T$100, 0))</f>
        <v>2500</v>
      </c>
      <c r="K65" s="425"/>
      <c r="L65" s="583">
        <f>sum(J65:J69)</f>
        <v>12500</v>
      </c>
      <c r="M65" s="558" t="str">
        <f t="shared" ref="M65:M66" si="2">DATESTATUS(E87,F87)</f>
        <v>Expire in 8</v>
      </c>
      <c r="P65" s="404"/>
      <c r="Q65" s="132"/>
      <c r="R65" s="132"/>
      <c r="S65" s="132"/>
      <c r="T65" s="132"/>
      <c r="U65" s="113"/>
      <c r="V65" s="136"/>
    </row>
    <row r="66">
      <c r="B66" s="432"/>
      <c r="D66" s="433"/>
      <c r="E66" s="434"/>
      <c r="F66" s="584" t="s">
        <v>121</v>
      </c>
      <c r="H66" s="433"/>
      <c r="I66" s="636">
        <v>10000.0</v>
      </c>
      <c r="J66" s="586">
        <f t="array" ref="J66">sum(IF(($R$3:$R$100=F66), $T$3:$T$100, 0))</f>
        <v>10000</v>
      </c>
      <c r="K66" s="433"/>
      <c r="L66" s="433"/>
      <c r="M66" s="559" t="str">
        <f t="shared" si="2"/>
        <v>Expired</v>
      </c>
      <c r="P66" s="404"/>
      <c r="Q66" s="132"/>
      <c r="R66" s="132"/>
      <c r="S66" s="132"/>
      <c r="T66" s="132"/>
      <c r="U66" s="113"/>
      <c r="V66" s="136"/>
    </row>
    <row r="67">
      <c r="B67" s="438"/>
      <c r="D67" s="439"/>
      <c r="E67" s="37"/>
      <c r="F67" s="587" t="s">
        <v>125</v>
      </c>
      <c r="H67" s="439"/>
      <c r="I67" s="625">
        <v>10000.0</v>
      </c>
      <c r="J67" s="589">
        <f t="array" ref="J67">sum(IF(($R$3:$R$100=F67), $T$3:$T$100, 0))</f>
        <v>0</v>
      </c>
      <c r="K67" s="439"/>
      <c r="L67" s="439"/>
      <c r="M67" s="560"/>
      <c r="P67" s="404"/>
      <c r="Q67" s="132"/>
      <c r="R67" s="132"/>
      <c r="S67" s="132"/>
      <c r="T67" s="132"/>
      <c r="U67" s="113"/>
      <c r="V67" s="136"/>
    </row>
    <row r="68">
      <c r="B68" s="432"/>
      <c r="D68" s="433"/>
      <c r="E68" s="434"/>
      <c r="F68" s="584" t="s">
        <v>129</v>
      </c>
      <c r="H68" s="433"/>
      <c r="I68" s="636">
        <v>0.0</v>
      </c>
      <c r="J68" s="586">
        <f t="array" ref="J68">sum(IF(($R$3:$R$100=F68), $T$3:$T$100, 0))</f>
        <v>0</v>
      </c>
      <c r="K68" s="433"/>
      <c r="L68" s="433"/>
      <c r="M68" s="559"/>
      <c r="P68" s="404"/>
      <c r="Q68" s="132"/>
      <c r="R68" s="132"/>
      <c r="S68" s="132"/>
      <c r="T68" s="102"/>
      <c r="U68" s="113"/>
      <c r="V68" s="136"/>
    </row>
    <row r="69">
      <c r="B69" s="413"/>
      <c r="C69" s="414"/>
      <c r="D69" s="415"/>
      <c r="E69" s="51"/>
      <c r="F69" s="525" t="s">
        <v>132</v>
      </c>
      <c r="H69" s="439"/>
      <c r="I69" s="189">
        <v>0.0</v>
      </c>
      <c r="J69" s="589">
        <f t="array" ref="J69">sum(IF(($R$3:$R$100=F69), $T$3:$T$100, 0))</f>
        <v>0</v>
      </c>
      <c r="K69" s="439"/>
      <c r="L69" s="415"/>
      <c r="M69" s="632"/>
      <c r="P69" s="404"/>
      <c r="Q69" s="132"/>
      <c r="R69" s="132"/>
      <c r="S69" s="132"/>
      <c r="T69" s="132"/>
      <c r="U69" s="113"/>
      <c r="V69" s="136"/>
    </row>
    <row r="70">
      <c r="B70" s="458" t="s">
        <v>26</v>
      </c>
      <c r="C70" s="459"/>
      <c r="D70" s="460"/>
      <c r="E70" s="591">
        <f>I70+I71</f>
        <v>100</v>
      </c>
      <c r="F70" s="592" t="s">
        <v>26</v>
      </c>
      <c r="G70" s="459"/>
      <c r="H70" s="460"/>
      <c r="I70" s="637">
        <v>100.0</v>
      </c>
      <c r="J70" s="470">
        <f t="array" ref="J70">sum(IF(($R$3:$R$100=F70), $T$3:$T$100, 0))</f>
        <v>95</v>
      </c>
      <c r="K70" s="460"/>
      <c r="L70" s="591">
        <f>J70+J71</f>
        <v>95</v>
      </c>
      <c r="M70" s="634"/>
      <c r="P70" s="404"/>
      <c r="Q70" s="132"/>
      <c r="R70" s="132"/>
      <c r="S70" s="132"/>
      <c r="T70" s="132"/>
      <c r="U70" s="113"/>
      <c r="V70" s="136"/>
    </row>
    <row r="71">
      <c r="B71" s="413"/>
      <c r="C71" s="414"/>
      <c r="D71" s="415"/>
      <c r="E71" s="439"/>
      <c r="F71" s="525" t="s">
        <v>151</v>
      </c>
      <c r="H71" s="439"/>
      <c r="I71" s="638"/>
      <c r="J71" s="589">
        <f t="array" ref="J71">sum(IF(($R$3:$R$100=F71), $T$3:$T$100, 0))</f>
        <v>0</v>
      </c>
      <c r="K71" s="439"/>
      <c r="L71" s="439"/>
      <c r="M71" s="632"/>
      <c r="P71" s="404"/>
      <c r="Q71" s="132"/>
      <c r="R71" s="132"/>
      <c r="S71" s="132"/>
      <c r="T71" s="132"/>
      <c r="U71" s="113"/>
      <c r="V71" s="136"/>
    </row>
    <row r="72">
      <c r="B72" s="458" t="s">
        <v>139</v>
      </c>
      <c r="C72" s="459"/>
      <c r="D72" s="460"/>
      <c r="E72" s="591">
        <f>I72+I73</f>
        <v>0</v>
      </c>
      <c r="F72" s="592" t="s">
        <v>152</v>
      </c>
      <c r="G72" s="459"/>
      <c r="H72" s="460"/>
      <c r="I72" s="639"/>
      <c r="J72" s="470">
        <f t="array" ref="J72">sum(IF(($R$3:$R$100=F72), $T$3:$T$100, 0))</f>
        <v>0</v>
      </c>
      <c r="K72" s="460"/>
      <c r="L72" s="591">
        <f>J72+J73</f>
        <v>0</v>
      </c>
      <c r="M72" s="594"/>
      <c r="P72" s="404"/>
      <c r="Q72" s="132"/>
      <c r="R72" s="132"/>
      <c r="S72" s="132"/>
      <c r="T72" s="132"/>
      <c r="U72" s="113"/>
      <c r="V72" s="136"/>
    </row>
    <row r="73">
      <c r="B73" s="348"/>
      <c r="C73" s="94"/>
      <c r="D73" s="93"/>
      <c r="E73" s="93"/>
      <c r="F73" s="597" t="s">
        <v>153</v>
      </c>
      <c r="G73" s="94"/>
      <c r="H73" s="93"/>
      <c r="I73" s="640"/>
      <c r="J73" s="597"/>
      <c r="K73" s="93"/>
      <c r="L73" s="93"/>
      <c r="M73" s="128"/>
      <c r="P73" s="404"/>
      <c r="Q73" s="132"/>
      <c r="R73" s="132"/>
      <c r="S73" s="132"/>
      <c r="T73" s="132"/>
      <c r="U73" s="113"/>
      <c r="V73" s="136"/>
    </row>
    <row r="74">
      <c r="P74" s="404"/>
      <c r="Q74" s="132"/>
      <c r="R74" s="132"/>
      <c r="S74" s="132"/>
      <c r="T74" s="132"/>
      <c r="U74" s="113"/>
      <c r="V74" s="136"/>
    </row>
    <row r="75">
      <c r="H75" s="500" t="s">
        <v>96</v>
      </c>
      <c r="I75" s="501">
        <f t="shared" ref="I75:J75" si="3">SUM(I45:I72)</f>
        <v>62270</v>
      </c>
      <c r="J75" s="501">
        <f t="shared" si="3"/>
        <v>50303</v>
      </c>
      <c r="L75" s="502">
        <f t="shared" ref="L75:L77" si="5">I75-J75</f>
        <v>11967</v>
      </c>
      <c r="P75" s="404"/>
      <c r="Q75" s="132"/>
      <c r="R75" s="132"/>
      <c r="S75" s="132"/>
      <c r="T75" s="132"/>
      <c r="U75" s="113"/>
      <c r="V75" s="136"/>
    </row>
    <row r="76">
      <c r="H76" s="503" t="s">
        <v>190</v>
      </c>
      <c r="I76" s="504">
        <f t="shared" ref="I76:J76" si="4">I46+I47+I49+I58+I59+I63+I67+I68+I62+I64+I65+I66</f>
        <v>28290</v>
      </c>
      <c r="J76" s="504">
        <f t="shared" si="4"/>
        <v>19748</v>
      </c>
      <c r="L76" s="505">
        <f t="shared" si="5"/>
        <v>8542</v>
      </c>
      <c r="P76" s="404"/>
      <c r="Q76" s="132"/>
      <c r="R76" s="132"/>
      <c r="S76" s="132"/>
      <c r="T76" s="132"/>
      <c r="U76" s="113"/>
      <c r="V76" s="136"/>
    </row>
    <row r="77">
      <c r="H77" s="506" t="s">
        <v>51</v>
      </c>
      <c r="I77" s="507">
        <f t="shared" ref="I77:J77" si="6">I75-I76</f>
        <v>33980</v>
      </c>
      <c r="J77" s="507">
        <f t="shared" si="6"/>
        <v>30555</v>
      </c>
      <c r="L77" s="508">
        <f t="shared" si="5"/>
        <v>3425</v>
      </c>
      <c r="P77" s="404"/>
      <c r="Q77" s="132"/>
      <c r="R77" s="132"/>
      <c r="S77" s="132"/>
      <c r="T77" s="132"/>
      <c r="U77" s="113"/>
      <c r="V77" s="136"/>
    </row>
    <row r="78">
      <c r="P78" s="404"/>
      <c r="Q78" s="132"/>
      <c r="R78" s="132"/>
      <c r="S78" s="132"/>
      <c r="T78" s="132"/>
      <c r="U78" s="113"/>
      <c r="V78" s="136"/>
    </row>
    <row r="79">
      <c r="P79" s="404"/>
      <c r="Q79" s="132"/>
      <c r="R79" s="132"/>
      <c r="S79" s="132"/>
      <c r="T79" s="132"/>
      <c r="U79" s="113"/>
      <c r="V79" s="136"/>
    </row>
    <row r="80">
      <c r="P80" s="404"/>
      <c r="Q80" s="132"/>
      <c r="R80" s="132"/>
      <c r="S80" s="132"/>
      <c r="T80" s="132"/>
      <c r="U80" s="113"/>
      <c r="V80" s="136"/>
    </row>
    <row r="81">
      <c r="B81" s="598" t="s">
        <v>373</v>
      </c>
      <c r="C81" s="599"/>
      <c r="D81" s="599"/>
      <c r="E81" s="600" t="s">
        <v>374</v>
      </c>
      <c r="F81" s="601" t="s">
        <v>375</v>
      </c>
      <c r="P81" s="404"/>
      <c r="Q81" s="102"/>
      <c r="R81" s="102"/>
      <c r="S81" s="102"/>
      <c r="T81" s="102"/>
      <c r="U81" s="113"/>
      <c r="V81" s="136"/>
    </row>
    <row r="82">
      <c r="B82" s="602" t="s">
        <v>376</v>
      </c>
      <c r="C82" s="424"/>
      <c r="D82" s="424"/>
      <c r="E82" s="18" t="s">
        <v>385</v>
      </c>
      <c r="F82" s="603"/>
      <c r="P82" s="404"/>
      <c r="Q82" s="102"/>
      <c r="R82" s="102"/>
      <c r="S82" s="102"/>
      <c r="T82" s="102"/>
      <c r="U82" s="113"/>
      <c r="V82" s="136"/>
    </row>
    <row r="83">
      <c r="B83" s="604" t="s">
        <v>122</v>
      </c>
      <c r="E83" s="605">
        <v>46191.0</v>
      </c>
      <c r="F83" s="606">
        <v>46196.0</v>
      </c>
      <c r="P83" s="404"/>
      <c r="Q83" s="102"/>
      <c r="R83" s="102"/>
      <c r="S83" s="102"/>
      <c r="T83" s="102"/>
      <c r="U83" s="113"/>
      <c r="V83" s="136"/>
    </row>
    <row r="84">
      <c r="B84" s="607" t="s">
        <v>118</v>
      </c>
      <c r="E84" s="608">
        <v>46168.0</v>
      </c>
      <c r="F84" s="609">
        <v>46173.0</v>
      </c>
      <c r="P84" s="112"/>
      <c r="Q84" s="102"/>
      <c r="R84" s="102"/>
      <c r="S84" s="102"/>
      <c r="T84" s="102"/>
      <c r="U84" s="113"/>
      <c r="V84" s="136"/>
    </row>
    <row r="85">
      <c r="B85" s="604" t="s">
        <v>130</v>
      </c>
      <c r="E85" s="605">
        <v>46168.0</v>
      </c>
      <c r="F85" s="606">
        <v>46169.0</v>
      </c>
      <c r="J85" s="610"/>
      <c r="P85" s="112"/>
      <c r="Q85" s="102"/>
      <c r="R85" s="102"/>
      <c r="S85" s="102"/>
      <c r="T85" s="102"/>
      <c r="U85" s="113"/>
      <c r="V85" s="136"/>
    </row>
    <row r="86">
      <c r="B86" s="607" t="s">
        <v>149</v>
      </c>
      <c r="E86" s="43"/>
      <c r="F86" s="295"/>
      <c r="P86" s="112"/>
      <c r="Q86" s="102"/>
      <c r="R86" s="102"/>
      <c r="S86" s="102"/>
      <c r="T86" s="102"/>
      <c r="U86" s="113"/>
      <c r="V86" s="136"/>
    </row>
    <row r="87">
      <c r="B87" s="604" t="s">
        <v>116</v>
      </c>
      <c r="E87" s="605">
        <v>46168.0</v>
      </c>
      <c r="F87" s="606">
        <v>46193.0</v>
      </c>
      <c r="P87" s="112"/>
      <c r="Q87" s="102"/>
      <c r="R87" s="102"/>
      <c r="S87" s="102"/>
      <c r="T87" s="102"/>
      <c r="U87" s="113"/>
      <c r="V87" s="136"/>
    </row>
    <row r="88">
      <c r="B88" s="607" t="s">
        <v>121</v>
      </c>
      <c r="E88" s="608">
        <v>46168.0</v>
      </c>
      <c r="F88" s="609">
        <v>46173.0</v>
      </c>
      <c r="P88" s="112"/>
      <c r="Q88" s="102"/>
      <c r="R88" s="102"/>
      <c r="S88" s="102"/>
      <c r="T88" s="102"/>
      <c r="U88" s="113"/>
      <c r="V88" s="136"/>
    </row>
    <row r="89">
      <c r="B89" s="611"/>
      <c r="C89" s="612"/>
      <c r="D89" s="612"/>
      <c r="E89" s="613"/>
      <c r="F89" s="614"/>
      <c r="P89" s="112"/>
      <c r="Q89" s="102"/>
      <c r="R89" s="102"/>
      <c r="S89" s="102"/>
      <c r="T89" s="102"/>
      <c r="U89" s="113"/>
      <c r="V89" s="136"/>
    </row>
    <row r="90">
      <c r="P90" s="112"/>
      <c r="Q90" s="102"/>
      <c r="R90" s="102"/>
      <c r="S90" s="102"/>
      <c r="T90" s="102"/>
      <c r="U90" s="113"/>
      <c r="V90" s="136"/>
    </row>
    <row r="91"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P91" s="112"/>
      <c r="Q91" s="102"/>
      <c r="R91" s="102"/>
      <c r="S91" s="102"/>
      <c r="T91" s="102"/>
      <c r="U91" s="113"/>
      <c r="V91" s="136"/>
    </row>
    <row r="92"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P92" s="112"/>
      <c r="Q92" s="102"/>
      <c r="R92" s="102"/>
      <c r="S92" s="102"/>
      <c r="T92" s="102"/>
      <c r="U92" s="113"/>
      <c r="V92" s="136"/>
    </row>
    <row r="93"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P93" s="112"/>
      <c r="Q93" s="102"/>
      <c r="R93" s="102"/>
      <c r="S93" s="102"/>
      <c r="T93" s="102"/>
      <c r="U93" s="113"/>
      <c r="V93" s="136"/>
    </row>
    <row r="94"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P94" s="112"/>
      <c r="Q94" s="102"/>
      <c r="R94" s="102"/>
      <c r="S94" s="102"/>
      <c r="T94" s="102"/>
      <c r="U94" s="113"/>
      <c r="V94" s="136"/>
    </row>
    <row r="95">
      <c r="B95" s="615"/>
      <c r="C95" s="615"/>
      <c r="D95" s="615"/>
      <c r="E95" s="615"/>
      <c r="F95" s="615"/>
      <c r="G95" s="615"/>
      <c r="H95" s="615"/>
      <c r="I95" s="615"/>
      <c r="J95" s="615"/>
      <c r="K95" s="615"/>
      <c r="L95" s="615"/>
      <c r="P95" s="112"/>
      <c r="Q95" s="102"/>
      <c r="R95" s="102"/>
      <c r="S95" s="102"/>
      <c r="T95" s="102"/>
      <c r="U95" s="113"/>
      <c r="V95" s="136"/>
    </row>
    <row r="96">
      <c r="B96" s="615"/>
      <c r="C96" s="615"/>
      <c r="D96" s="615"/>
      <c r="E96" s="615"/>
      <c r="F96" s="615"/>
      <c r="G96" s="615"/>
      <c r="H96" s="615"/>
      <c r="I96" s="615"/>
      <c r="J96" s="615"/>
      <c r="K96" s="615"/>
      <c r="L96" s="615"/>
      <c r="P96" s="112"/>
      <c r="Q96" s="102"/>
      <c r="R96" s="102"/>
      <c r="S96" s="102"/>
      <c r="T96" s="102"/>
      <c r="U96" s="113"/>
      <c r="V96" s="136"/>
    </row>
    <row r="97">
      <c r="B97" s="615"/>
      <c r="C97" s="615"/>
      <c r="D97" s="615"/>
      <c r="E97" s="615"/>
      <c r="F97" s="615"/>
      <c r="G97" s="615"/>
      <c r="H97" s="615"/>
      <c r="I97" s="615"/>
      <c r="J97" s="615"/>
      <c r="K97" s="615"/>
      <c r="L97" s="615"/>
      <c r="P97" s="112"/>
      <c r="Q97" s="102"/>
      <c r="R97" s="102"/>
      <c r="S97" s="102"/>
      <c r="T97" s="102"/>
      <c r="U97" s="113"/>
      <c r="V97" s="136"/>
    </row>
    <row r="98"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P98" s="112"/>
      <c r="Q98" s="102"/>
      <c r="R98" s="102"/>
      <c r="S98" s="102"/>
      <c r="T98" s="102"/>
      <c r="U98" s="113"/>
      <c r="V98" s="136"/>
    </row>
    <row r="99"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P99" s="112"/>
      <c r="Q99" s="102"/>
      <c r="R99" s="102"/>
      <c r="S99" s="102"/>
      <c r="T99" s="102"/>
      <c r="U99" s="113"/>
      <c r="V99" s="136"/>
    </row>
    <row r="100"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P100" s="112"/>
      <c r="Q100" s="102"/>
      <c r="R100" s="102"/>
      <c r="S100" s="102"/>
      <c r="T100" s="102"/>
      <c r="U100" s="113"/>
      <c r="V100" s="136"/>
    </row>
    <row r="101"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P101" s="298"/>
    </row>
    <row r="102"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P102" s="298"/>
    </row>
    <row r="103">
      <c r="B103" s="615"/>
      <c r="C103" s="615"/>
      <c r="D103" s="615"/>
      <c r="E103" s="615"/>
      <c r="F103" s="615"/>
      <c r="G103" s="615"/>
      <c r="H103" s="615"/>
      <c r="I103" s="615"/>
      <c r="J103" s="615"/>
      <c r="K103" s="615"/>
      <c r="L103" s="615"/>
      <c r="P103" s="298"/>
    </row>
    <row r="104">
      <c r="B104" s="615"/>
      <c r="C104" s="615"/>
      <c r="D104" s="615"/>
      <c r="E104" s="615"/>
      <c r="F104" s="615"/>
      <c r="G104" s="615"/>
      <c r="H104" s="615"/>
      <c r="I104" s="615"/>
      <c r="J104" s="615"/>
      <c r="K104" s="615"/>
      <c r="L104" s="615"/>
      <c r="P104" s="298"/>
    </row>
    <row r="105">
      <c r="B105" s="615"/>
      <c r="C105" s="615"/>
      <c r="D105" s="615"/>
      <c r="E105" s="615"/>
      <c r="F105" s="615"/>
      <c r="G105" s="615"/>
      <c r="H105" s="615"/>
      <c r="I105" s="615"/>
      <c r="J105" s="615"/>
      <c r="K105" s="615"/>
      <c r="L105" s="615"/>
      <c r="P105" s="298"/>
    </row>
    <row r="106"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P106" s="298"/>
    </row>
    <row r="107">
      <c r="B107" s="615"/>
      <c r="C107" s="615"/>
      <c r="D107" s="615"/>
      <c r="E107" s="615"/>
      <c r="F107" s="615"/>
      <c r="G107" s="615"/>
      <c r="H107" s="615"/>
      <c r="I107" s="615"/>
      <c r="J107" s="615"/>
      <c r="K107" s="615"/>
      <c r="L107" s="615"/>
      <c r="P107" s="298"/>
    </row>
    <row r="108">
      <c r="B108" s="615"/>
      <c r="C108" s="615"/>
      <c r="D108" s="615"/>
      <c r="E108" s="615"/>
      <c r="F108" s="615"/>
      <c r="G108" s="615"/>
      <c r="H108" s="615"/>
      <c r="I108" s="615"/>
      <c r="J108" s="615"/>
      <c r="K108" s="615"/>
      <c r="L108" s="615"/>
      <c r="P108" s="298"/>
    </row>
    <row r="109">
      <c r="B109" s="615"/>
      <c r="C109" s="615"/>
      <c r="D109" s="615"/>
      <c r="E109" s="615"/>
      <c r="F109" s="615"/>
      <c r="G109" s="615"/>
      <c r="H109" s="615"/>
      <c r="I109" s="615"/>
      <c r="J109" s="615"/>
      <c r="K109" s="615"/>
      <c r="L109" s="615"/>
      <c r="P109" s="298"/>
    </row>
    <row r="110"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P110" s="298"/>
    </row>
    <row r="111"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P111" s="298"/>
    </row>
    <row r="112">
      <c r="B112" s="616"/>
      <c r="C112" s="616"/>
      <c r="D112" s="616"/>
      <c r="E112" s="616"/>
      <c r="F112" s="616"/>
      <c r="G112" s="616"/>
      <c r="H112" s="616"/>
      <c r="I112" s="616"/>
      <c r="J112" s="616"/>
      <c r="K112" s="616"/>
      <c r="L112" s="616"/>
      <c r="P112" s="298"/>
    </row>
    <row r="113">
      <c r="B113" s="616"/>
      <c r="C113" s="616"/>
      <c r="D113" s="616"/>
      <c r="E113" s="616"/>
      <c r="F113" s="616"/>
      <c r="G113" s="616"/>
      <c r="H113" s="616"/>
      <c r="I113" s="616"/>
      <c r="J113" s="616"/>
      <c r="K113" s="616"/>
      <c r="L113" s="616"/>
      <c r="P113" s="298"/>
    </row>
    <row r="114">
      <c r="B114" s="616"/>
      <c r="C114" s="616"/>
      <c r="D114" s="616"/>
      <c r="E114" s="616"/>
      <c r="F114" s="616"/>
      <c r="G114" s="616"/>
      <c r="H114" s="616"/>
      <c r="I114" s="616"/>
      <c r="J114" s="616"/>
      <c r="K114" s="616"/>
      <c r="L114" s="616"/>
      <c r="P114" s="298"/>
    </row>
    <row r="115">
      <c r="B115" s="616"/>
      <c r="C115" s="616"/>
      <c r="D115" s="616"/>
      <c r="E115" s="616"/>
      <c r="F115" s="616"/>
      <c r="G115" s="616"/>
      <c r="H115" s="616"/>
      <c r="I115" s="616"/>
      <c r="J115" s="616"/>
      <c r="K115" s="616"/>
      <c r="L115" s="616"/>
      <c r="P115" s="298"/>
    </row>
    <row r="116">
      <c r="B116" s="616"/>
      <c r="C116" s="616"/>
      <c r="D116" s="616"/>
      <c r="E116" s="616"/>
      <c r="F116" s="616"/>
      <c r="G116" s="616"/>
      <c r="H116" s="616"/>
      <c r="I116" s="616"/>
      <c r="J116" s="616"/>
      <c r="K116" s="616"/>
      <c r="L116" s="616"/>
      <c r="P116" s="298"/>
    </row>
    <row r="117">
      <c r="B117" s="616"/>
      <c r="C117" s="616"/>
      <c r="D117" s="616"/>
      <c r="E117" s="616"/>
      <c r="F117" s="616"/>
      <c r="G117" s="616"/>
      <c r="H117" s="616"/>
      <c r="I117" s="616"/>
      <c r="J117" s="616"/>
      <c r="K117" s="616"/>
      <c r="L117" s="616"/>
      <c r="P117" s="298"/>
    </row>
    <row r="118">
      <c r="B118" s="616"/>
      <c r="C118" s="616"/>
      <c r="D118" s="616"/>
      <c r="E118" s="616"/>
      <c r="F118" s="616"/>
      <c r="G118" s="616"/>
      <c r="H118" s="616"/>
      <c r="I118" s="616"/>
      <c r="J118" s="616"/>
      <c r="K118" s="616"/>
      <c r="L118" s="616"/>
      <c r="P118" s="298"/>
    </row>
    <row r="119">
      <c r="B119" s="616"/>
      <c r="C119" s="616"/>
      <c r="D119" s="616"/>
      <c r="E119" s="616"/>
      <c r="F119" s="616"/>
      <c r="G119" s="616"/>
      <c r="H119" s="616"/>
      <c r="I119" s="616"/>
      <c r="J119" s="616"/>
      <c r="K119" s="616"/>
      <c r="L119" s="616"/>
      <c r="P119" s="298"/>
    </row>
    <row r="120">
      <c r="P120" s="298"/>
    </row>
    <row r="121">
      <c r="P121" s="298"/>
    </row>
    <row r="122">
      <c r="P122" s="298"/>
    </row>
    <row r="123">
      <c r="P123" s="298"/>
    </row>
    <row r="124">
      <c r="P124" s="298"/>
    </row>
    <row r="125">
      <c r="P125" s="298"/>
    </row>
    <row r="126">
      <c r="P126" s="298"/>
    </row>
    <row r="127">
      <c r="P127" s="298"/>
    </row>
    <row r="128">
      <c r="P128" s="298"/>
    </row>
    <row r="129">
      <c r="P129" s="298"/>
    </row>
    <row r="130">
      <c r="P130" s="298"/>
    </row>
    <row r="131">
      <c r="P131" s="298"/>
    </row>
    <row r="132">
      <c r="P132" s="298"/>
    </row>
    <row r="133">
      <c r="P133" s="298"/>
    </row>
    <row r="134">
      <c r="P134" s="298"/>
    </row>
    <row r="135">
      <c r="P135" s="298"/>
    </row>
    <row r="136">
      <c r="P136" s="298"/>
    </row>
    <row r="137">
      <c r="P137" s="298"/>
    </row>
    <row r="138">
      <c r="P138" s="298"/>
    </row>
    <row r="139">
      <c r="P139" s="298"/>
    </row>
    <row r="140">
      <c r="P140" s="298"/>
    </row>
    <row r="141">
      <c r="P141" s="298"/>
    </row>
    <row r="142">
      <c r="P142" s="298"/>
    </row>
    <row r="143">
      <c r="P143" s="298"/>
    </row>
    <row r="144">
      <c r="P144" s="298"/>
    </row>
    <row r="145">
      <c r="P145" s="298"/>
    </row>
    <row r="146">
      <c r="P146" s="298"/>
    </row>
    <row r="147">
      <c r="P147" s="298"/>
    </row>
    <row r="148">
      <c r="P148" s="298"/>
    </row>
    <row r="149">
      <c r="P149" s="298"/>
    </row>
    <row r="150">
      <c r="P150" s="298"/>
    </row>
    <row r="151">
      <c r="P151" s="298"/>
    </row>
    <row r="152">
      <c r="P152" s="298"/>
    </row>
    <row r="153">
      <c r="P153" s="298"/>
    </row>
    <row r="154">
      <c r="P154" s="298"/>
    </row>
    <row r="155">
      <c r="P155" s="298"/>
    </row>
    <row r="156">
      <c r="P156" s="298"/>
    </row>
    <row r="157">
      <c r="P157" s="298"/>
    </row>
    <row r="158">
      <c r="P158" s="298"/>
    </row>
    <row r="159">
      <c r="P159" s="298"/>
    </row>
    <row r="160">
      <c r="P160" s="298"/>
    </row>
    <row r="161">
      <c r="P161" s="298"/>
    </row>
    <row r="162">
      <c r="P162" s="298"/>
    </row>
    <row r="163">
      <c r="P163" s="298"/>
    </row>
    <row r="164">
      <c r="P164" s="298"/>
    </row>
    <row r="165">
      <c r="P165" s="298"/>
    </row>
    <row r="166">
      <c r="P166" s="298"/>
    </row>
    <row r="167">
      <c r="P167" s="298"/>
    </row>
    <row r="168">
      <c r="P168" s="298"/>
    </row>
    <row r="169">
      <c r="P169" s="298"/>
    </row>
    <row r="170">
      <c r="P170" s="298"/>
    </row>
    <row r="171">
      <c r="P171" s="298"/>
    </row>
    <row r="172">
      <c r="P172" s="298"/>
    </row>
    <row r="173">
      <c r="P173" s="298"/>
    </row>
    <row r="174">
      <c r="P174" s="298"/>
    </row>
    <row r="175">
      <c r="P175" s="298"/>
    </row>
    <row r="176">
      <c r="P176" s="298"/>
    </row>
    <row r="177">
      <c r="P177" s="298"/>
    </row>
    <row r="178">
      <c r="P178" s="298"/>
    </row>
    <row r="179">
      <c r="P179" s="298"/>
    </row>
    <row r="180">
      <c r="P180" s="298"/>
    </row>
    <row r="181">
      <c r="P181" s="298"/>
    </row>
    <row r="182">
      <c r="P182" s="298"/>
    </row>
    <row r="183">
      <c r="P183" s="298"/>
    </row>
    <row r="184">
      <c r="P184" s="298"/>
    </row>
    <row r="185">
      <c r="P185" s="298"/>
    </row>
    <row r="186">
      <c r="P186" s="298"/>
    </row>
    <row r="187">
      <c r="P187" s="298"/>
    </row>
    <row r="188">
      <c r="P188" s="298"/>
    </row>
    <row r="189">
      <c r="P189" s="298"/>
    </row>
    <row r="190">
      <c r="P190" s="298"/>
    </row>
    <row r="191">
      <c r="P191" s="298"/>
    </row>
    <row r="192">
      <c r="P192" s="298"/>
    </row>
    <row r="193">
      <c r="P193" s="298"/>
    </row>
    <row r="194">
      <c r="P194" s="298"/>
    </row>
    <row r="195">
      <c r="P195" s="298"/>
    </row>
    <row r="196">
      <c r="P196" s="298"/>
    </row>
    <row r="197">
      <c r="P197" s="298"/>
    </row>
    <row r="198">
      <c r="P198" s="298"/>
    </row>
    <row r="199">
      <c r="P199" s="298"/>
    </row>
    <row r="200">
      <c r="P200" s="298"/>
    </row>
    <row r="201">
      <c r="P201" s="298"/>
    </row>
    <row r="202">
      <c r="P202" s="298"/>
    </row>
    <row r="203">
      <c r="P203" s="298"/>
    </row>
    <row r="204">
      <c r="P204" s="298"/>
    </row>
    <row r="205">
      <c r="P205" s="298"/>
    </row>
    <row r="206">
      <c r="P206" s="298"/>
    </row>
    <row r="207">
      <c r="P207" s="298"/>
    </row>
    <row r="208">
      <c r="P208" s="298"/>
    </row>
    <row r="209">
      <c r="P209" s="298"/>
    </row>
    <row r="210">
      <c r="P210" s="298"/>
    </row>
    <row r="211">
      <c r="P211" s="298"/>
    </row>
    <row r="212">
      <c r="P212" s="298"/>
    </row>
    <row r="213">
      <c r="P213" s="298"/>
    </row>
    <row r="214">
      <c r="P214" s="298"/>
    </row>
    <row r="215">
      <c r="P215" s="298"/>
    </row>
    <row r="216">
      <c r="P216" s="298"/>
    </row>
    <row r="217">
      <c r="P217" s="298"/>
    </row>
    <row r="218">
      <c r="P218" s="298"/>
    </row>
    <row r="219">
      <c r="P219" s="298"/>
    </row>
    <row r="220">
      <c r="P220" s="298"/>
    </row>
    <row r="221">
      <c r="P221" s="298"/>
    </row>
    <row r="222">
      <c r="P222" s="298"/>
    </row>
    <row r="223">
      <c r="P223" s="298"/>
    </row>
    <row r="224">
      <c r="P224" s="298"/>
    </row>
    <row r="225">
      <c r="P225" s="298"/>
    </row>
    <row r="226">
      <c r="P226" s="298"/>
    </row>
    <row r="227">
      <c r="P227" s="298"/>
    </row>
    <row r="228">
      <c r="P228" s="298"/>
    </row>
    <row r="229">
      <c r="P229" s="298"/>
    </row>
    <row r="230">
      <c r="P230" s="298"/>
    </row>
    <row r="231">
      <c r="P231" s="298"/>
    </row>
    <row r="232">
      <c r="P232" s="298"/>
    </row>
    <row r="233">
      <c r="P233" s="298"/>
    </row>
    <row r="234">
      <c r="P234" s="298"/>
    </row>
    <row r="235">
      <c r="P235" s="298"/>
    </row>
    <row r="236">
      <c r="P236" s="298"/>
    </row>
    <row r="237">
      <c r="P237" s="298"/>
    </row>
    <row r="238">
      <c r="P238" s="298"/>
    </row>
    <row r="239">
      <c r="P239" s="298"/>
    </row>
    <row r="240">
      <c r="P240" s="298"/>
    </row>
    <row r="241">
      <c r="P241" s="298"/>
    </row>
    <row r="242">
      <c r="P242" s="298"/>
    </row>
    <row r="243">
      <c r="P243" s="298"/>
    </row>
    <row r="244">
      <c r="P244" s="298"/>
    </row>
    <row r="245">
      <c r="P245" s="298"/>
    </row>
    <row r="246">
      <c r="P246" s="298"/>
    </row>
    <row r="247">
      <c r="P247" s="298"/>
    </row>
    <row r="248">
      <c r="P248" s="298"/>
    </row>
    <row r="249">
      <c r="P249" s="298"/>
    </row>
    <row r="250">
      <c r="P250" s="298"/>
    </row>
    <row r="251">
      <c r="P251" s="298"/>
    </row>
    <row r="252">
      <c r="P252" s="298"/>
    </row>
    <row r="253">
      <c r="P253" s="298"/>
    </row>
    <row r="254">
      <c r="P254" s="298"/>
    </row>
    <row r="255">
      <c r="P255" s="298"/>
    </row>
    <row r="256">
      <c r="P256" s="298"/>
    </row>
    <row r="257">
      <c r="P257" s="298"/>
    </row>
    <row r="258">
      <c r="P258" s="298"/>
    </row>
    <row r="259">
      <c r="P259" s="298"/>
    </row>
    <row r="260">
      <c r="P260" s="298"/>
    </row>
    <row r="261">
      <c r="P261" s="298"/>
    </row>
    <row r="262">
      <c r="P262" s="298"/>
    </row>
    <row r="263">
      <c r="P263" s="298"/>
    </row>
    <row r="264">
      <c r="P264" s="298"/>
    </row>
    <row r="265">
      <c r="P265" s="298"/>
    </row>
    <row r="266">
      <c r="P266" s="298"/>
    </row>
    <row r="267">
      <c r="P267" s="298"/>
    </row>
    <row r="268">
      <c r="P268" s="298"/>
    </row>
    <row r="269">
      <c r="P269" s="298"/>
    </row>
    <row r="270">
      <c r="P270" s="298"/>
    </row>
    <row r="271">
      <c r="P271" s="298"/>
    </row>
    <row r="272">
      <c r="P272" s="298"/>
    </row>
    <row r="273">
      <c r="P273" s="298"/>
    </row>
    <row r="274">
      <c r="P274" s="298"/>
    </row>
    <row r="275">
      <c r="P275" s="298"/>
    </row>
    <row r="276">
      <c r="P276" s="298"/>
    </row>
    <row r="277">
      <c r="P277" s="298"/>
    </row>
    <row r="278">
      <c r="P278" s="298"/>
    </row>
    <row r="279">
      <c r="P279" s="298"/>
    </row>
    <row r="280">
      <c r="P280" s="298"/>
    </row>
    <row r="281">
      <c r="P281" s="298"/>
    </row>
    <row r="282">
      <c r="P282" s="298"/>
    </row>
    <row r="283">
      <c r="P283" s="298"/>
    </row>
    <row r="284">
      <c r="P284" s="298"/>
    </row>
    <row r="285">
      <c r="P285" s="298"/>
    </row>
    <row r="286">
      <c r="P286" s="298"/>
    </row>
    <row r="287">
      <c r="P287" s="298"/>
    </row>
    <row r="288">
      <c r="P288" s="298"/>
    </row>
    <row r="289">
      <c r="P289" s="298"/>
    </row>
    <row r="290">
      <c r="P290" s="298"/>
    </row>
    <row r="291">
      <c r="P291" s="298"/>
    </row>
    <row r="292">
      <c r="P292" s="298"/>
    </row>
    <row r="293">
      <c r="P293" s="298"/>
    </row>
    <row r="294">
      <c r="P294" s="298"/>
    </row>
    <row r="295">
      <c r="P295" s="298"/>
    </row>
    <row r="296">
      <c r="P296" s="298"/>
    </row>
    <row r="297">
      <c r="P297" s="298"/>
    </row>
    <row r="298">
      <c r="P298" s="298"/>
    </row>
    <row r="299">
      <c r="P299" s="298"/>
    </row>
    <row r="300">
      <c r="P300" s="298"/>
    </row>
    <row r="301">
      <c r="P301" s="298"/>
    </row>
    <row r="302">
      <c r="P302" s="298"/>
    </row>
    <row r="303">
      <c r="P303" s="298"/>
    </row>
    <row r="304">
      <c r="P304" s="298"/>
    </row>
    <row r="305">
      <c r="P305" s="298"/>
    </row>
    <row r="306">
      <c r="P306" s="298"/>
    </row>
    <row r="307">
      <c r="P307" s="298"/>
    </row>
    <row r="308">
      <c r="P308" s="298"/>
    </row>
    <row r="309">
      <c r="P309" s="298"/>
    </row>
    <row r="310">
      <c r="P310" s="298"/>
    </row>
    <row r="311">
      <c r="P311" s="298"/>
    </row>
    <row r="312">
      <c r="P312" s="298"/>
    </row>
    <row r="313">
      <c r="P313" s="298"/>
    </row>
    <row r="314">
      <c r="P314" s="298"/>
    </row>
    <row r="315">
      <c r="P315" s="298"/>
    </row>
    <row r="316">
      <c r="P316" s="298"/>
    </row>
    <row r="317">
      <c r="P317" s="298"/>
    </row>
    <row r="318">
      <c r="P318" s="298"/>
    </row>
    <row r="319">
      <c r="P319" s="298"/>
    </row>
    <row r="320">
      <c r="P320" s="298"/>
    </row>
    <row r="321">
      <c r="P321" s="298"/>
    </row>
    <row r="322">
      <c r="P322" s="298"/>
    </row>
    <row r="323">
      <c r="P323" s="298"/>
    </row>
    <row r="324">
      <c r="P324" s="298"/>
    </row>
    <row r="325">
      <c r="P325" s="298"/>
    </row>
    <row r="326">
      <c r="P326" s="298"/>
    </row>
    <row r="327">
      <c r="P327" s="298"/>
    </row>
    <row r="328">
      <c r="P328" s="298"/>
    </row>
    <row r="329">
      <c r="P329" s="298"/>
    </row>
    <row r="330">
      <c r="P330" s="298"/>
    </row>
    <row r="331">
      <c r="P331" s="298"/>
    </row>
    <row r="332">
      <c r="P332" s="298"/>
    </row>
    <row r="333">
      <c r="P333" s="298"/>
    </row>
    <row r="334">
      <c r="P334" s="298"/>
    </row>
    <row r="335">
      <c r="P335" s="298"/>
    </row>
    <row r="336">
      <c r="P336" s="298"/>
    </row>
    <row r="337">
      <c r="P337" s="298"/>
    </row>
    <row r="338">
      <c r="P338" s="298"/>
    </row>
    <row r="339">
      <c r="P339" s="298"/>
    </row>
    <row r="340">
      <c r="P340" s="298"/>
    </row>
    <row r="341">
      <c r="P341" s="298"/>
    </row>
    <row r="342">
      <c r="P342" s="298"/>
    </row>
    <row r="343">
      <c r="P343" s="298"/>
    </row>
    <row r="344">
      <c r="P344" s="298"/>
    </row>
    <row r="345">
      <c r="P345" s="298"/>
    </row>
    <row r="346">
      <c r="P346" s="298"/>
    </row>
    <row r="347">
      <c r="P347" s="298"/>
    </row>
    <row r="348">
      <c r="P348" s="298"/>
    </row>
    <row r="349">
      <c r="P349" s="298"/>
    </row>
    <row r="350">
      <c r="P350" s="298"/>
    </row>
    <row r="351">
      <c r="P351" s="298"/>
    </row>
    <row r="352">
      <c r="P352" s="298"/>
    </row>
    <row r="353">
      <c r="P353" s="298"/>
    </row>
    <row r="354">
      <c r="P354" s="298"/>
    </row>
    <row r="355">
      <c r="P355" s="298"/>
    </row>
    <row r="356">
      <c r="P356" s="298"/>
    </row>
    <row r="357">
      <c r="P357" s="298"/>
    </row>
    <row r="358">
      <c r="P358" s="298"/>
    </row>
    <row r="359">
      <c r="P359" s="298"/>
    </row>
    <row r="360">
      <c r="P360" s="298"/>
    </row>
    <row r="361">
      <c r="P361" s="298"/>
    </row>
    <row r="362">
      <c r="P362" s="298"/>
    </row>
    <row r="363">
      <c r="P363" s="298"/>
    </row>
    <row r="364">
      <c r="P364" s="298"/>
    </row>
    <row r="365">
      <c r="P365" s="298"/>
    </row>
    <row r="366">
      <c r="P366" s="298"/>
    </row>
    <row r="367">
      <c r="P367" s="298"/>
    </row>
    <row r="368">
      <c r="P368" s="298"/>
    </row>
    <row r="369">
      <c r="P369" s="298"/>
    </row>
    <row r="370">
      <c r="P370" s="298"/>
    </row>
    <row r="371">
      <c r="P371" s="298"/>
    </row>
    <row r="372">
      <c r="P372" s="298"/>
    </row>
    <row r="373">
      <c r="P373" s="298"/>
    </row>
    <row r="374">
      <c r="P374" s="298"/>
    </row>
    <row r="375">
      <c r="P375" s="298"/>
    </row>
    <row r="376">
      <c r="P376" s="298"/>
    </row>
    <row r="377">
      <c r="P377" s="298"/>
    </row>
    <row r="378">
      <c r="P378" s="298"/>
    </row>
    <row r="379">
      <c r="P379" s="298"/>
    </row>
    <row r="380">
      <c r="P380" s="298"/>
    </row>
    <row r="381">
      <c r="P381" s="298"/>
    </row>
    <row r="382">
      <c r="P382" s="298"/>
    </row>
    <row r="383">
      <c r="P383" s="298"/>
    </row>
    <row r="384">
      <c r="P384" s="298"/>
    </row>
    <row r="385">
      <c r="P385" s="298"/>
    </row>
    <row r="386">
      <c r="P386" s="298"/>
    </row>
    <row r="387">
      <c r="P387" s="298"/>
    </row>
    <row r="388">
      <c r="P388" s="298"/>
    </row>
    <row r="389">
      <c r="P389" s="298"/>
    </row>
    <row r="390">
      <c r="P390" s="298"/>
    </row>
    <row r="391">
      <c r="P391" s="298"/>
    </row>
    <row r="392">
      <c r="P392" s="298"/>
    </row>
    <row r="393">
      <c r="P393" s="298"/>
    </row>
    <row r="394">
      <c r="P394" s="298"/>
    </row>
    <row r="395">
      <c r="P395" s="298"/>
    </row>
    <row r="396">
      <c r="P396" s="298"/>
    </row>
    <row r="397">
      <c r="P397" s="298"/>
    </row>
    <row r="398">
      <c r="P398" s="298"/>
    </row>
    <row r="399">
      <c r="P399" s="298"/>
    </row>
    <row r="400">
      <c r="P400" s="298"/>
    </row>
    <row r="401">
      <c r="P401" s="298"/>
    </row>
    <row r="402">
      <c r="P402" s="298"/>
    </row>
    <row r="403">
      <c r="P403" s="298"/>
    </row>
    <row r="404">
      <c r="P404" s="298"/>
    </row>
    <row r="405">
      <c r="P405" s="298"/>
    </row>
    <row r="406">
      <c r="P406" s="298"/>
    </row>
    <row r="407">
      <c r="P407" s="298"/>
    </row>
    <row r="408">
      <c r="P408" s="298"/>
    </row>
    <row r="409">
      <c r="P409" s="298"/>
    </row>
    <row r="410">
      <c r="P410" s="298"/>
    </row>
    <row r="411">
      <c r="P411" s="298"/>
    </row>
    <row r="412">
      <c r="P412" s="298"/>
    </row>
    <row r="413">
      <c r="P413" s="298"/>
    </row>
    <row r="414">
      <c r="P414" s="298"/>
    </row>
    <row r="415">
      <c r="P415" s="298"/>
    </row>
    <row r="416">
      <c r="P416" s="298"/>
    </row>
    <row r="417">
      <c r="P417" s="298"/>
    </row>
    <row r="418">
      <c r="P418" s="298"/>
    </row>
    <row r="419">
      <c r="P419" s="298"/>
    </row>
    <row r="420">
      <c r="P420" s="298"/>
    </row>
    <row r="421">
      <c r="P421" s="298"/>
    </row>
    <row r="422">
      <c r="P422" s="298"/>
    </row>
    <row r="423">
      <c r="P423" s="298"/>
    </row>
    <row r="424">
      <c r="P424" s="298"/>
    </row>
    <row r="425">
      <c r="P425" s="298"/>
    </row>
    <row r="426">
      <c r="P426" s="298"/>
    </row>
    <row r="427">
      <c r="P427" s="298"/>
    </row>
    <row r="428">
      <c r="P428" s="298"/>
    </row>
    <row r="429">
      <c r="P429" s="298"/>
    </row>
    <row r="430">
      <c r="P430" s="298"/>
    </row>
    <row r="431">
      <c r="P431" s="298"/>
    </row>
    <row r="432">
      <c r="P432" s="298"/>
    </row>
    <row r="433">
      <c r="P433" s="298"/>
    </row>
    <row r="434">
      <c r="P434" s="298"/>
    </row>
    <row r="435">
      <c r="P435" s="298"/>
    </row>
    <row r="436">
      <c r="P436" s="298"/>
    </row>
    <row r="437">
      <c r="P437" s="298"/>
    </row>
    <row r="438">
      <c r="P438" s="298"/>
    </row>
    <row r="439">
      <c r="P439" s="298"/>
    </row>
    <row r="440">
      <c r="P440" s="298"/>
    </row>
    <row r="441">
      <c r="P441" s="298"/>
    </row>
    <row r="442">
      <c r="P442" s="298"/>
    </row>
    <row r="443">
      <c r="P443" s="298"/>
    </row>
    <row r="444">
      <c r="P444" s="298"/>
    </row>
    <row r="445">
      <c r="P445" s="298"/>
    </row>
    <row r="446">
      <c r="P446" s="298"/>
    </row>
    <row r="447">
      <c r="P447" s="298"/>
    </row>
    <row r="448">
      <c r="P448" s="298"/>
    </row>
    <row r="449">
      <c r="P449" s="298"/>
    </row>
    <row r="450">
      <c r="P450" s="298"/>
    </row>
    <row r="451">
      <c r="P451" s="298"/>
    </row>
    <row r="452">
      <c r="P452" s="298"/>
    </row>
    <row r="453">
      <c r="P453" s="298"/>
    </row>
    <row r="454">
      <c r="P454" s="298"/>
    </row>
    <row r="455">
      <c r="P455" s="298"/>
    </row>
    <row r="456">
      <c r="P456" s="298"/>
    </row>
    <row r="457">
      <c r="P457" s="298"/>
    </row>
    <row r="458">
      <c r="P458" s="298"/>
    </row>
    <row r="459">
      <c r="P459" s="298"/>
    </row>
    <row r="460">
      <c r="P460" s="298"/>
    </row>
    <row r="461">
      <c r="P461" s="298"/>
    </row>
    <row r="462">
      <c r="P462" s="298"/>
    </row>
    <row r="463">
      <c r="P463" s="298"/>
    </row>
    <row r="464">
      <c r="P464" s="298"/>
    </row>
    <row r="465">
      <c r="P465" s="298"/>
    </row>
    <row r="466">
      <c r="P466" s="298"/>
    </row>
    <row r="467">
      <c r="P467" s="298"/>
    </row>
    <row r="468">
      <c r="P468" s="298"/>
    </row>
    <row r="469">
      <c r="P469" s="298"/>
    </row>
    <row r="470">
      <c r="P470" s="298"/>
    </row>
    <row r="471">
      <c r="P471" s="298"/>
    </row>
    <row r="472">
      <c r="P472" s="298"/>
    </row>
    <row r="473">
      <c r="P473" s="298"/>
    </row>
    <row r="474">
      <c r="P474" s="298"/>
    </row>
    <row r="475">
      <c r="P475" s="298"/>
    </row>
    <row r="476">
      <c r="P476" s="298"/>
    </row>
    <row r="477">
      <c r="P477" s="298"/>
    </row>
    <row r="478">
      <c r="P478" s="298"/>
    </row>
    <row r="479">
      <c r="P479" s="298"/>
    </row>
    <row r="480">
      <c r="P480" s="298"/>
    </row>
    <row r="481">
      <c r="P481" s="298"/>
    </row>
    <row r="482">
      <c r="P482" s="298"/>
    </row>
    <row r="483">
      <c r="P483" s="298"/>
    </row>
    <row r="484">
      <c r="P484" s="298"/>
    </row>
    <row r="485">
      <c r="P485" s="298"/>
    </row>
    <row r="486">
      <c r="P486" s="298"/>
    </row>
    <row r="487">
      <c r="P487" s="298"/>
    </row>
    <row r="488">
      <c r="P488" s="298"/>
    </row>
    <row r="489">
      <c r="P489" s="298"/>
    </row>
    <row r="490">
      <c r="P490" s="298"/>
    </row>
    <row r="491">
      <c r="P491" s="298"/>
    </row>
    <row r="492">
      <c r="P492" s="298"/>
    </row>
    <row r="493">
      <c r="P493" s="298"/>
    </row>
    <row r="494">
      <c r="P494" s="298"/>
    </row>
    <row r="495">
      <c r="P495" s="298"/>
    </row>
    <row r="496">
      <c r="P496" s="298"/>
    </row>
    <row r="497">
      <c r="P497" s="298"/>
    </row>
    <row r="498">
      <c r="P498" s="298"/>
    </row>
    <row r="499">
      <c r="P499" s="298"/>
    </row>
    <row r="500">
      <c r="P500" s="298"/>
    </row>
    <row r="501">
      <c r="P501" s="298"/>
    </row>
    <row r="502">
      <c r="P502" s="298"/>
    </row>
    <row r="503">
      <c r="P503" s="298"/>
    </row>
    <row r="504">
      <c r="P504" s="298"/>
    </row>
    <row r="505">
      <c r="P505" s="298"/>
    </row>
    <row r="506">
      <c r="P506" s="298"/>
    </row>
    <row r="507">
      <c r="P507" s="298"/>
    </row>
    <row r="508">
      <c r="P508" s="298"/>
    </row>
    <row r="509">
      <c r="P509" s="298"/>
    </row>
    <row r="510">
      <c r="P510" s="298"/>
    </row>
    <row r="511">
      <c r="P511" s="298"/>
    </row>
    <row r="512">
      <c r="P512" s="298"/>
    </row>
    <row r="513">
      <c r="P513" s="298"/>
    </row>
    <row r="514">
      <c r="P514" s="298"/>
    </row>
    <row r="515">
      <c r="P515" s="298"/>
    </row>
    <row r="516">
      <c r="P516" s="298"/>
    </row>
    <row r="517">
      <c r="P517" s="298"/>
    </row>
    <row r="518">
      <c r="P518" s="298"/>
    </row>
    <row r="519">
      <c r="P519" s="298"/>
    </row>
    <row r="520">
      <c r="P520" s="298"/>
    </row>
    <row r="521">
      <c r="P521" s="298"/>
    </row>
    <row r="522">
      <c r="P522" s="298"/>
    </row>
    <row r="523">
      <c r="P523" s="298"/>
    </row>
    <row r="524">
      <c r="P524" s="298"/>
    </row>
    <row r="525">
      <c r="P525" s="298"/>
    </row>
    <row r="526">
      <c r="P526" s="298"/>
    </row>
    <row r="527">
      <c r="P527" s="298"/>
    </row>
    <row r="528">
      <c r="P528" s="298"/>
    </row>
    <row r="529">
      <c r="P529" s="298"/>
    </row>
    <row r="530">
      <c r="P530" s="298"/>
    </row>
    <row r="531">
      <c r="P531" s="298"/>
    </row>
    <row r="532">
      <c r="P532" s="298"/>
    </row>
    <row r="533">
      <c r="P533" s="298"/>
    </row>
    <row r="534">
      <c r="P534" s="298"/>
    </row>
    <row r="535">
      <c r="P535" s="298"/>
    </row>
    <row r="536">
      <c r="P536" s="298"/>
    </row>
    <row r="537">
      <c r="P537" s="298"/>
    </row>
    <row r="538">
      <c r="P538" s="298"/>
    </row>
    <row r="539">
      <c r="P539" s="298"/>
    </row>
    <row r="540">
      <c r="P540" s="298"/>
    </row>
    <row r="541">
      <c r="P541" s="298"/>
    </row>
    <row r="542">
      <c r="P542" s="298"/>
    </row>
    <row r="543">
      <c r="P543" s="298"/>
    </row>
    <row r="544">
      <c r="P544" s="298"/>
    </row>
    <row r="545">
      <c r="P545" s="298"/>
    </row>
    <row r="546">
      <c r="P546" s="298"/>
    </row>
    <row r="547">
      <c r="P547" s="298"/>
    </row>
    <row r="548">
      <c r="P548" s="298"/>
    </row>
    <row r="549">
      <c r="P549" s="298"/>
    </row>
    <row r="550">
      <c r="P550" s="298"/>
    </row>
    <row r="551">
      <c r="P551" s="298"/>
    </row>
    <row r="552">
      <c r="P552" s="298"/>
    </row>
    <row r="553">
      <c r="P553" s="298"/>
    </row>
    <row r="554">
      <c r="P554" s="298"/>
    </row>
    <row r="555">
      <c r="P555" s="298"/>
    </row>
    <row r="556">
      <c r="P556" s="298"/>
    </row>
    <row r="557">
      <c r="P557" s="298"/>
    </row>
    <row r="558">
      <c r="P558" s="298"/>
    </row>
    <row r="559">
      <c r="P559" s="298"/>
    </row>
    <row r="560">
      <c r="P560" s="298"/>
    </row>
    <row r="561">
      <c r="P561" s="298"/>
    </row>
    <row r="562">
      <c r="P562" s="298"/>
    </row>
    <row r="563">
      <c r="P563" s="298"/>
    </row>
    <row r="564">
      <c r="P564" s="298"/>
    </row>
    <row r="565">
      <c r="P565" s="298"/>
    </row>
    <row r="566">
      <c r="P566" s="298"/>
    </row>
    <row r="567">
      <c r="P567" s="298"/>
    </row>
    <row r="568">
      <c r="P568" s="298"/>
    </row>
    <row r="569">
      <c r="P569" s="298"/>
    </row>
    <row r="570">
      <c r="P570" s="298"/>
    </row>
    <row r="571">
      <c r="P571" s="298"/>
    </row>
    <row r="572">
      <c r="P572" s="298"/>
    </row>
    <row r="573">
      <c r="P573" s="298"/>
    </row>
    <row r="574">
      <c r="P574" s="298"/>
    </row>
    <row r="575">
      <c r="P575" s="298"/>
    </row>
    <row r="576">
      <c r="P576" s="298"/>
    </row>
    <row r="577">
      <c r="P577" s="298"/>
    </row>
    <row r="578">
      <c r="P578" s="298"/>
    </row>
    <row r="579">
      <c r="P579" s="298"/>
    </row>
    <row r="580">
      <c r="P580" s="298"/>
    </row>
    <row r="581">
      <c r="P581" s="298"/>
    </row>
    <row r="582">
      <c r="P582" s="298"/>
    </row>
    <row r="583">
      <c r="P583" s="298"/>
    </row>
    <row r="584">
      <c r="P584" s="298"/>
    </row>
    <row r="585">
      <c r="P585" s="298"/>
    </row>
    <row r="586">
      <c r="P586" s="298"/>
    </row>
    <row r="587">
      <c r="P587" s="298"/>
    </row>
    <row r="588">
      <c r="P588" s="298"/>
    </row>
    <row r="589">
      <c r="P589" s="298"/>
    </row>
    <row r="590">
      <c r="P590" s="298"/>
    </row>
    <row r="591">
      <c r="P591" s="298"/>
    </row>
    <row r="592">
      <c r="P592" s="298"/>
    </row>
    <row r="593">
      <c r="P593" s="298"/>
    </row>
    <row r="594">
      <c r="P594" s="298"/>
    </row>
    <row r="595">
      <c r="P595" s="298"/>
    </row>
    <row r="596">
      <c r="P596" s="298"/>
    </row>
    <row r="597">
      <c r="P597" s="298"/>
    </row>
    <row r="598">
      <c r="P598" s="298"/>
    </row>
    <row r="599">
      <c r="P599" s="298"/>
    </row>
    <row r="600">
      <c r="P600" s="298"/>
    </row>
    <row r="601">
      <c r="P601" s="298"/>
    </row>
    <row r="602">
      <c r="P602" s="298"/>
    </row>
    <row r="603">
      <c r="P603" s="298"/>
    </row>
    <row r="604">
      <c r="P604" s="298"/>
    </row>
    <row r="605">
      <c r="P605" s="298"/>
    </row>
    <row r="606">
      <c r="P606" s="298"/>
    </row>
    <row r="607">
      <c r="P607" s="298"/>
    </row>
    <row r="608">
      <c r="P608" s="298"/>
    </row>
    <row r="609">
      <c r="P609" s="298"/>
    </row>
    <row r="610">
      <c r="P610" s="298"/>
    </row>
    <row r="611">
      <c r="P611" s="298"/>
    </row>
    <row r="612">
      <c r="P612" s="298"/>
    </row>
    <row r="613">
      <c r="P613" s="298"/>
    </row>
    <row r="614">
      <c r="P614" s="298"/>
    </row>
    <row r="615">
      <c r="P615" s="298"/>
    </row>
    <row r="616">
      <c r="P616" s="298"/>
    </row>
    <row r="617">
      <c r="P617" s="298"/>
    </row>
    <row r="618">
      <c r="P618" s="298"/>
    </row>
    <row r="619">
      <c r="P619" s="298"/>
    </row>
    <row r="620">
      <c r="P620" s="298"/>
    </row>
    <row r="621">
      <c r="P621" s="298"/>
    </row>
    <row r="622">
      <c r="P622" s="298"/>
    </row>
    <row r="623">
      <c r="P623" s="298"/>
    </row>
    <row r="624">
      <c r="P624" s="298"/>
    </row>
    <row r="625">
      <c r="P625" s="298"/>
    </row>
    <row r="626">
      <c r="P626" s="298"/>
    </row>
    <row r="627">
      <c r="P627" s="298"/>
    </row>
    <row r="628">
      <c r="P628" s="298"/>
    </row>
    <row r="629">
      <c r="P629" s="298"/>
    </row>
    <row r="630">
      <c r="P630" s="298"/>
    </row>
    <row r="631">
      <c r="P631" s="298"/>
    </row>
    <row r="632">
      <c r="P632" s="298"/>
    </row>
    <row r="633">
      <c r="P633" s="298"/>
    </row>
    <row r="634">
      <c r="P634" s="298"/>
    </row>
    <row r="635">
      <c r="P635" s="298"/>
    </row>
    <row r="636">
      <c r="P636" s="298"/>
    </row>
    <row r="637">
      <c r="P637" s="298"/>
    </row>
    <row r="638">
      <c r="P638" s="298"/>
    </row>
    <row r="639">
      <c r="P639" s="298"/>
    </row>
    <row r="640">
      <c r="P640" s="298"/>
    </row>
    <row r="641">
      <c r="P641" s="298"/>
    </row>
    <row r="642">
      <c r="P642" s="298"/>
    </row>
    <row r="643">
      <c r="P643" s="298"/>
    </row>
    <row r="644">
      <c r="P644" s="298"/>
    </row>
    <row r="645">
      <c r="P645" s="298"/>
    </row>
    <row r="646">
      <c r="P646" s="298"/>
    </row>
    <row r="647">
      <c r="P647" s="298"/>
    </row>
    <row r="648">
      <c r="P648" s="298"/>
    </row>
    <row r="649">
      <c r="P649" s="298"/>
    </row>
    <row r="650">
      <c r="P650" s="298"/>
    </row>
    <row r="651">
      <c r="P651" s="298"/>
    </row>
    <row r="652">
      <c r="P652" s="298"/>
    </row>
    <row r="653">
      <c r="P653" s="298"/>
    </row>
    <row r="654">
      <c r="P654" s="298"/>
    </row>
    <row r="655">
      <c r="P655" s="298"/>
    </row>
    <row r="656">
      <c r="P656" s="298"/>
    </row>
    <row r="657">
      <c r="P657" s="298"/>
    </row>
    <row r="658">
      <c r="P658" s="298"/>
    </row>
    <row r="659">
      <c r="P659" s="298"/>
    </row>
    <row r="660">
      <c r="P660" s="298"/>
    </row>
    <row r="661">
      <c r="P661" s="298"/>
    </row>
    <row r="662">
      <c r="P662" s="298"/>
    </row>
    <row r="663">
      <c r="P663" s="298"/>
    </row>
    <row r="664">
      <c r="P664" s="298"/>
    </row>
    <row r="665">
      <c r="P665" s="298"/>
    </row>
    <row r="666">
      <c r="P666" s="298"/>
    </row>
    <row r="667">
      <c r="P667" s="298"/>
    </row>
    <row r="668">
      <c r="P668" s="298"/>
    </row>
    <row r="669">
      <c r="P669" s="298"/>
    </row>
    <row r="670">
      <c r="P670" s="298"/>
    </row>
    <row r="671">
      <c r="P671" s="298"/>
    </row>
    <row r="672">
      <c r="P672" s="298"/>
    </row>
    <row r="673">
      <c r="P673" s="298"/>
    </row>
    <row r="674">
      <c r="P674" s="298"/>
    </row>
    <row r="675">
      <c r="P675" s="298"/>
    </row>
    <row r="676">
      <c r="P676" s="298"/>
    </row>
    <row r="677">
      <c r="P677" s="298"/>
    </row>
    <row r="678">
      <c r="P678" s="298"/>
    </row>
    <row r="679">
      <c r="P679" s="298"/>
    </row>
    <row r="680">
      <c r="P680" s="298"/>
    </row>
    <row r="681">
      <c r="P681" s="298"/>
    </row>
    <row r="682">
      <c r="P682" s="298"/>
    </row>
    <row r="683">
      <c r="P683" s="298"/>
    </row>
    <row r="684">
      <c r="P684" s="298"/>
    </row>
    <row r="685">
      <c r="P685" s="298"/>
    </row>
    <row r="686">
      <c r="P686" s="298"/>
    </row>
    <row r="687">
      <c r="P687" s="298"/>
    </row>
    <row r="688">
      <c r="P688" s="298"/>
    </row>
    <row r="689">
      <c r="P689" s="298"/>
    </row>
    <row r="690">
      <c r="P690" s="298"/>
    </row>
    <row r="691">
      <c r="P691" s="298"/>
    </row>
    <row r="692">
      <c r="P692" s="298"/>
    </row>
    <row r="693">
      <c r="P693" s="298"/>
    </row>
    <row r="694">
      <c r="P694" s="298"/>
    </row>
    <row r="695">
      <c r="P695" s="298"/>
    </row>
    <row r="696">
      <c r="P696" s="298"/>
    </row>
    <row r="697">
      <c r="P697" s="298"/>
    </row>
    <row r="698">
      <c r="P698" s="298"/>
    </row>
    <row r="699">
      <c r="P699" s="298"/>
    </row>
    <row r="700">
      <c r="P700" s="298"/>
    </row>
    <row r="701">
      <c r="P701" s="298"/>
    </row>
    <row r="702">
      <c r="P702" s="298"/>
    </row>
    <row r="703">
      <c r="P703" s="298"/>
    </row>
    <row r="704">
      <c r="P704" s="298"/>
    </row>
    <row r="705">
      <c r="P705" s="298"/>
    </row>
    <row r="706">
      <c r="P706" s="298"/>
    </row>
    <row r="707">
      <c r="P707" s="298"/>
    </row>
    <row r="708">
      <c r="P708" s="298"/>
    </row>
    <row r="709">
      <c r="P709" s="298"/>
    </row>
    <row r="710">
      <c r="P710" s="298"/>
    </row>
    <row r="711">
      <c r="P711" s="298"/>
    </row>
    <row r="712">
      <c r="P712" s="298"/>
    </row>
    <row r="713">
      <c r="P713" s="298"/>
    </row>
    <row r="714">
      <c r="P714" s="298"/>
    </row>
    <row r="715">
      <c r="P715" s="298"/>
    </row>
    <row r="716">
      <c r="P716" s="298"/>
    </row>
    <row r="717">
      <c r="P717" s="298"/>
    </row>
    <row r="718">
      <c r="P718" s="298"/>
    </row>
    <row r="719">
      <c r="P719" s="298"/>
    </row>
    <row r="720">
      <c r="P720" s="298"/>
    </row>
    <row r="721">
      <c r="P721" s="298"/>
    </row>
    <row r="722">
      <c r="P722" s="298"/>
    </row>
    <row r="723">
      <c r="P723" s="298"/>
    </row>
    <row r="724">
      <c r="P724" s="298"/>
    </row>
    <row r="725">
      <c r="P725" s="298"/>
    </row>
    <row r="726">
      <c r="P726" s="298"/>
    </row>
    <row r="727">
      <c r="P727" s="298"/>
    </row>
    <row r="728">
      <c r="P728" s="298"/>
    </row>
    <row r="729">
      <c r="P729" s="298"/>
    </row>
    <row r="730">
      <c r="P730" s="298"/>
    </row>
    <row r="731">
      <c r="P731" s="298"/>
    </row>
    <row r="732">
      <c r="P732" s="298"/>
    </row>
    <row r="733">
      <c r="P733" s="298"/>
    </row>
    <row r="734">
      <c r="P734" s="298"/>
    </row>
    <row r="735">
      <c r="P735" s="298"/>
    </row>
    <row r="736">
      <c r="P736" s="298"/>
    </row>
    <row r="737">
      <c r="P737" s="298"/>
    </row>
    <row r="738">
      <c r="P738" s="298"/>
    </row>
    <row r="739">
      <c r="P739" s="298"/>
    </row>
    <row r="740">
      <c r="P740" s="298"/>
    </row>
    <row r="741">
      <c r="P741" s="298"/>
    </row>
    <row r="742">
      <c r="P742" s="298"/>
    </row>
    <row r="743">
      <c r="P743" s="298"/>
    </row>
    <row r="744">
      <c r="P744" s="298"/>
    </row>
    <row r="745">
      <c r="P745" s="298"/>
    </row>
    <row r="746">
      <c r="P746" s="298"/>
    </row>
    <row r="747">
      <c r="P747" s="298"/>
    </row>
    <row r="748">
      <c r="P748" s="298"/>
    </row>
    <row r="749">
      <c r="P749" s="298"/>
    </row>
    <row r="750">
      <c r="P750" s="298"/>
    </row>
    <row r="751">
      <c r="P751" s="298"/>
    </row>
    <row r="752">
      <c r="P752" s="298"/>
    </row>
    <row r="753">
      <c r="P753" s="298"/>
    </row>
    <row r="754">
      <c r="P754" s="298"/>
    </row>
    <row r="755">
      <c r="P755" s="298"/>
    </row>
    <row r="756">
      <c r="P756" s="298"/>
    </row>
    <row r="757">
      <c r="P757" s="298"/>
    </row>
    <row r="758">
      <c r="P758" s="298"/>
    </row>
    <row r="759">
      <c r="P759" s="298"/>
    </row>
    <row r="760">
      <c r="P760" s="298"/>
    </row>
    <row r="761">
      <c r="P761" s="298"/>
    </row>
    <row r="762">
      <c r="P762" s="298"/>
    </row>
    <row r="763">
      <c r="P763" s="298"/>
    </row>
    <row r="764">
      <c r="P764" s="298"/>
    </row>
    <row r="765">
      <c r="P765" s="298"/>
    </row>
    <row r="766">
      <c r="P766" s="298"/>
    </row>
    <row r="767">
      <c r="P767" s="298"/>
    </row>
    <row r="768">
      <c r="P768" s="298"/>
    </row>
    <row r="769">
      <c r="P769" s="298"/>
    </row>
    <row r="770">
      <c r="P770" s="298"/>
    </row>
    <row r="771">
      <c r="P771" s="298"/>
    </row>
    <row r="772">
      <c r="P772" s="298"/>
    </row>
    <row r="773">
      <c r="P773" s="298"/>
    </row>
    <row r="774">
      <c r="P774" s="298"/>
    </row>
    <row r="775">
      <c r="P775" s="298"/>
    </row>
    <row r="776">
      <c r="P776" s="298"/>
    </row>
    <row r="777">
      <c r="P777" s="298"/>
    </row>
    <row r="778">
      <c r="P778" s="298"/>
    </row>
    <row r="779">
      <c r="P779" s="298"/>
    </row>
    <row r="780">
      <c r="P780" s="298"/>
    </row>
    <row r="781">
      <c r="P781" s="298"/>
    </row>
    <row r="782">
      <c r="P782" s="298"/>
    </row>
    <row r="783">
      <c r="P783" s="298"/>
    </row>
    <row r="784">
      <c r="P784" s="298"/>
    </row>
    <row r="785">
      <c r="P785" s="298"/>
    </row>
    <row r="786">
      <c r="P786" s="298"/>
    </row>
    <row r="787">
      <c r="P787" s="298"/>
    </row>
    <row r="788">
      <c r="P788" s="298"/>
    </row>
    <row r="789">
      <c r="P789" s="298"/>
    </row>
    <row r="790">
      <c r="P790" s="298"/>
    </row>
    <row r="791">
      <c r="P791" s="298"/>
    </row>
    <row r="792">
      <c r="P792" s="298"/>
    </row>
    <row r="793">
      <c r="P793" s="298"/>
    </row>
    <row r="794">
      <c r="P794" s="298"/>
    </row>
    <row r="795">
      <c r="P795" s="298"/>
    </row>
    <row r="796">
      <c r="P796" s="298"/>
    </row>
    <row r="797">
      <c r="P797" s="298"/>
    </row>
    <row r="798">
      <c r="P798" s="298"/>
    </row>
    <row r="799">
      <c r="P799" s="298"/>
    </row>
    <row r="800">
      <c r="P800" s="298"/>
    </row>
    <row r="801">
      <c r="P801" s="298"/>
    </row>
    <row r="802">
      <c r="P802" s="298"/>
    </row>
    <row r="803">
      <c r="P803" s="298"/>
    </row>
    <row r="804">
      <c r="P804" s="298"/>
    </row>
    <row r="805">
      <c r="P805" s="298"/>
    </row>
    <row r="806">
      <c r="P806" s="298"/>
    </row>
    <row r="807">
      <c r="P807" s="298"/>
    </row>
    <row r="808">
      <c r="P808" s="298"/>
    </row>
    <row r="809">
      <c r="P809" s="298"/>
    </row>
    <row r="810">
      <c r="P810" s="298"/>
    </row>
    <row r="811">
      <c r="P811" s="298"/>
    </row>
    <row r="812">
      <c r="P812" s="298"/>
    </row>
    <row r="813">
      <c r="P813" s="298"/>
    </row>
    <row r="814">
      <c r="P814" s="298"/>
    </row>
    <row r="815">
      <c r="P815" s="298"/>
    </row>
    <row r="816">
      <c r="P816" s="298"/>
    </row>
    <row r="817">
      <c r="P817" s="298"/>
    </row>
    <row r="818">
      <c r="P818" s="298"/>
    </row>
    <row r="819">
      <c r="P819" s="298"/>
    </row>
    <row r="820">
      <c r="P820" s="298"/>
    </row>
    <row r="821">
      <c r="P821" s="298"/>
    </row>
    <row r="822">
      <c r="P822" s="298"/>
    </row>
    <row r="823">
      <c r="P823" s="298"/>
    </row>
    <row r="824">
      <c r="P824" s="298"/>
    </row>
    <row r="825">
      <c r="P825" s="298"/>
    </row>
    <row r="826">
      <c r="P826" s="298"/>
    </row>
    <row r="827">
      <c r="P827" s="298"/>
    </row>
    <row r="828">
      <c r="P828" s="298"/>
    </row>
    <row r="829">
      <c r="P829" s="298"/>
    </row>
    <row r="830">
      <c r="P830" s="298"/>
    </row>
    <row r="831">
      <c r="P831" s="298"/>
    </row>
    <row r="832">
      <c r="P832" s="298"/>
    </row>
    <row r="833">
      <c r="P833" s="298"/>
    </row>
    <row r="834">
      <c r="P834" s="298"/>
    </row>
    <row r="835">
      <c r="P835" s="298"/>
    </row>
    <row r="836">
      <c r="P836" s="298"/>
    </row>
    <row r="837">
      <c r="P837" s="298"/>
    </row>
    <row r="838">
      <c r="P838" s="298"/>
    </row>
    <row r="839">
      <c r="P839" s="298"/>
    </row>
    <row r="840">
      <c r="P840" s="298"/>
    </row>
    <row r="841">
      <c r="P841" s="298"/>
    </row>
    <row r="842">
      <c r="P842" s="298"/>
    </row>
    <row r="843">
      <c r="P843" s="298"/>
    </row>
    <row r="844">
      <c r="P844" s="298"/>
    </row>
    <row r="845">
      <c r="P845" s="298"/>
    </row>
    <row r="846">
      <c r="P846" s="298"/>
    </row>
    <row r="847">
      <c r="P847" s="298"/>
    </row>
    <row r="848">
      <c r="P848" s="298"/>
    </row>
    <row r="849">
      <c r="P849" s="298"/>
    </row>
    <row r="850">
      <c r="P850" s="298"/>
    </row>
    <row r="851">
      <c r="P851" s="298"/>
    </row>
    <row r="852">
      <c r="P852" s="298"/>
    </row>
    <row r="853">
      <c r="P853" s="298"/>
    </row>
    <row r="854">
      <c r="P854" s="298"/>
    </row>
    <row r="855">
      <c r="P855" s="298"/>
    </row>
    <row r="856">
      <c r="P856" s="298"/>
    </row>
    <row r="857">
      <c r="P857" s="298"/>
    </row>
    <row r="858">
      <c r="P858" s="298"/>
    </row>
    <row r="859">
      <c r="P859" s="298"/>
    </row>
    <row r="860">
      <c r="P860" s="298"/>
    </row>
    <row r="861">
      <c r="P861" s="298"/>
    </row>
    <row r="862">
      <c r="P862" s="298"/>
    </row>
    <row r="863">
      <c r="P863" s="298"/>
    </row>
    <row r="864">
      <c r="P864" s="298"/>
    </row>
    <row r="865">
      <c r="P865" s="298"/>
    </row>
    <row r="866">
      <c r="P866" s="298"/>
    </row>
    <row r="867">
      <c r="P867" s="298"/>
    </row>
    <row r="868">
      <c r="P868" s="298"/>
    </row>
    <row r="869">
      <c r="P869" s="298"/>
    </row>
    <row r="870">
      <c r="P870" s="298"/>
    </row>
    <row r="871">
      <c r="P871" s="298"/>
    </row>
    <row r="872">
      <c r="P872" s="298"/>
    </row>
    <row r="873">
      <c r="P873" s="298"/>
    </row>
    <row r="874">
      <c r="P874" s="298"/>
    </row>
    <row r="875">
      <c r="P875" s="298"/>
    </row>
    <row r="876">
      <c r="P876" s="298"/>
    </row>
    <row r="877">
      <c r="P877" s="298"/>
    </row>
    <row r="878">
      <c r="P878" s="298"/>
    </row>
    <row r="879">
      <c r="P879" s="298"/>
    </row>
    <row r="880">
      <c r="P880" s="298"/>
    </row>
    <row r="881">
      <c r="P881" s="298"/>
    </row>
    <row r="882">
      <c r="P882" s="298"/>
    </row>
    <row r="883">
      <c r="P883" s="298"/>
    </row>
    <row r="884">
      <c r="P884" s="298"/>
    </row>
    <row r="885">
      <c r="P885" s="298"/>
    </row>
    <row r="886">
      <c r="P886" s="298"/>
    </row>
    <row r="887">
      <c r="P887" s="298"/>
    </row>
    <row r="888">
      <c r="P888" s="298"/>
    </row>
    <row r="889">
      <c r="P889" s="298"/>
    </row>
    <row r="890">
      <c r="P890" s="298"/>
    </row>
    <row r="891">
      <c r="P891" s="298"/>
    </row>
    <row r="892">
      <c r="P892" s="298"/>
    </row>
    <row r="893">
      <c r="P893" s="298"/>
    </row>
    <row r="894">
      <c r="P894" s="298"/>
    </row>
    <row r="895">
      <c r="P895" s="298"/>
    </row>
    <row r="896">
      <c r="P896" s="298"/>
    </row>
    <row r="897">
      <c r="P897" s="298"/>
    </row>
    <row r="898">
      <c r="P898" s="298"/>
    </row>
    <row r="899">
      <c r="P899" s="298"/>
    </row>
    <row r="900">
      <c r="P900" s="298"/>
    </row>
    <row r="901">
      <c r="P901" s="298"/>
    </row>
    <row r="902">
      <c r="P902" s="298"/>
    </row>
    <row r="903">
      <c r="P903" s="298"/>
    </row>
    <row r="904">
      <c r="P904" s="298"/>
    </row>
    <row r="905">
      <c r="P905" s="298"/>
    </row>
    <row r="906">
      <c r="P906" s="298"/>
    </row>
    <row r="907">
      <c r="P907" s="298"/>
    </row>
    <row r="908">
      <c r="P908" s="298"/>
    </row>
    <row r="909">
      <c r="P909" s="298"/>
    </row>
    <row r="910">
      <c r="P910" s="298"/>
    </row>
    <row r="911">
      <c r="P911" s="298"/>
    </row>
    <row r="912">
      <c r="P912" s="298"/>
    </row>
    <row r="913">
      <c r="P913" s="298"/>
    </row>
    <row r="914">
      <c r="P914" s="298"/>
    </row>
    <row r="915">
      <c r="P915" s="298"/>
    </row>
    <row r="916">
      <c r="P916" s="298"/>
    </row>
    <row r="917">
      <c r="P917" s="298"/>
    </row>
    <row r="918">
      <c r="P918" s="298"/>
    </row>
    <row r="919">
      <c r="P919" s="298"/>
    </row>
    <row r="920">
      <c r="P920" s="298"/>
    </row>
    <row r="921">
      <c r="P921" s="298"/>
    </row>
    <row r="922">
      <c r="P922" s="298"/>
    </row>
    <row r="923">
      <c r="P923" s="298"/>
    </row>
    <row r="924">
      <c r="P924" s="298"/>
    </row>
    <row r="925">
      <c r="P925" s="298"/>
    </row>
    <row r="926">
      <c r="P926" s="298"/>
    </row>
    <row r="927">
      <c r="P927" s="298"/>
    </row>
    <row r="928">
      <c r="P928" s="298"/>
    </row>
    <row r="929">
      <c r="P929" s="298"/>
    </row>
    <row r="930">
      <c r="P930" s="298"/>
    </row>
    <row r="931">
      <c r="P931" s="298"/>
    </row>
    <row r="932">
      <c r="P932" s="298"/>
    </row>
    <row r="933">
      <c r="P933" s="298"/>
    </row>
    <row r="934">
      <c r="P934" s="298"/>
    </row>
    <row r="935">
      <c r="P935" s="298"/>
    </row>
    <row r="936">
      <c r="P936" s="298"/>
    </row>
    <row r="937">
      <c r="P937" s="298"/>
    </row>
    <row r="938">
      <c r="P938" s="298"/>
    </row>
    <row r="939">
      <c r="P939" s="298"/>
    </row>
    <row r="940">
      <c r="P940" s="298"/>
    </row>
    <row r="941">
      <c r="P941" s="298"/>
    </row>
    <row r="942">
      <c r="P942" s="298"/>
    </row>
    <row r="943">
      <c r="P943" s="298"/>
    </row>
    <row r="944">
      <c r="P944" s="298"/>
    </row>
    <row r="945">
      <c r="P945" s="298"/>
    </row>
    <row r="946">
      <c r="P946" s="298"/>
    </row>
    <row r="947">
      <c r="P947" s="298"/>
    </row>
    <row r="948">
      <c r="P948" s="298"/>
    </row>
    <row r="949">
      <c r="P949" s="298"/>
    </row>
    <row r="950">
      <c r="P950" s="298"/>
    </row>
    <row r="951">
      <c r="P951" s="298"/>
    </row>
    <row r="952">
      <c r="P952" s="298"/>
    </row>
    <row r="953">
      <c r="P953" s="298"/>
    </row>
    <row r="954">
      <c r="P954" s="298"/>
    </row>
    <row r="955">
      <c r="P955" s="298"/>
    </row>
    <row r="956">
      <c r="P956" s="298"/>
    </row>
    <row r="957">
      <c r="P957" s="298"/>
    </row>
    <row r="958">
      <c r="P958" s="298"/>
    </row>
    <row r="959">
      <c r="P959" s="298"/>
    </row>
    <row r="960">
      <c r="P960" s="298"/>
    </row>
    <row r="961">
      <c r="P961" s="298"/>
    </row>
    <row r="962">
      <c r="P962" s="298"/>
    </row>
    <row r="963">
      <c r="P963" s="298"/>
    </row>
    <row r="964">
      <c r="P964" s="298"/>
    </row>
    <row r="965">
      <c r="P965" s="298"/>
    </row>
    <row r="966">
      <c r="P966" s="298"/>
    </row>
    <row r="967">
      <c r="P967" s="298"/>
    </row>
    <row r="968">
      <c r="P968" s="298"/>
    </row>
    <row r="969">
      <c r="P969" s="298"/>
    </row>
    <row r="970">
      <c r="P970" s="298"/>
    </row>
    <row r="971">
      <c r="P971" s="298"/>
    </row>
    <row r="972">
      <c r="P972" s="298"/>
    </row>
    <row r="973">
      <c r="P973" s="298"/>
    </row>
    <row r="974">
      <c r="P974" s="298"/>
    </row>
    <row r="975">
      <c r="P975" s="298"/>
    </row>
    <row r="976">
      <c r="P976" s="298"/>
    </row>
    <row r="977">
      <c r="P977" s="298"/>
    </row>
    <row r="978">
      <c r="P978" s="298"/>
    </row>
    <row r="979">
      <c r="P979" s="298"/>
    </row>
    <row r="980">
      <c r="P980" s="298"/>
    </row>
    <row r="981">
      <c r="P981" s="298"/>
    </row>
    <row r="982">
      <c r="P982" s="298"/>
    </row>
    <row r="983">
      <c r="P983" s="298"/>
    </row>
    <row r="984">
      <c r="P984" s="298"/>
    </row>
    <row r="985">
      <c r="P985" s="298"/>
    </row>
    <row r="986">
      <c r="P986" s="298"/>
    </row>
    <row r="987">
      <c r="P987" s="298"/>
    </row>
    <row r="988">
      <c r="P988" s="298"/>
    </row>
    <row r="989">
      <c r="P989" s="298"/>
    </row>
    <row r="990">
      <c r="P990" s="298"/>
    </row>
    <row r="991">
      <c r="P991" s="298"/>
    </row>
    <row r="992">
      <c r="P992" s="298"/>
    </row>
    <row r="993">
      <c r="P993" s="298"/>
    </row>
    <row r="994">
      <c r="P994" s="298"/>
    </row>
    <row r="995">
      <c r="P995" s="298"/>
    </row>
    <row r="996">
      <c r="P996" s="298"/>
    </row>
    <row r="997">
      <c r="P997" s="298"/>
    </row>
    <row r="998">
      <c r="P998" s="298"/>
    </row>
    <row r="999">
      <c r="P999" s="298"/>
    </row>
    <row r="1000">
      <c r="P1000" s="298"/>
    </row>
  </sheetData>
  <mergeCells count="132">
    <mergeCell ref="B2:F2"/>
    <mergeCell ref="H2:H3"/>
    <mergeCell ref="I2:I3"/>
    <mergeCell ref="L2:M2"/>
    <mergeCell ref="W2:Y2"/>
    <mergeCell ref="X3:Y3"/>
    <mergeCell ref="X4:Y4"/>
    <mergeCell ref="X12:Y12"/>
    <mergeCell ref="X13:Y13"/>
    <mergeCell ref="X14:Y14"/>
    <mergeCell ref="L15:M15"/>
    <mergeCell ref="X15:Y15"/>
    <mergeCell ref="X5:Y5"/>
    <mergeCell ref="X6:Y6"/>
    <mergeCell ref="X7:Y7"/>
    <mergeCell ref="X8:Y8"/>
    <mergeCell ref="X9:Y9"/>
    <mergeCell ref="X10:Y10"/>
    <mergeCell ref="X11:Y11"/>
    <mergeCell ref="X16:Y16"/>
    <mergeCell ref="X17:Y17"/>
    <mergeCell ref="X18:Y18"/>
    <mergeCell ref="X19:Y19"/>
    <mergeCell ref="X20:Y20"/>
    <mergeCell ref="X21:Y21"/>
    <mergeCell ref="X22:Y22"/>
    <mergeCell ref="X23:Y23"/>
    <mergeCell ref="L24:M24"/>
    <mergeCell ref="L33:M33"/>
    <mergeCell ref="I42:I43"/>
    <mergeCell ref="J42:K43"/>
    <mergeCell ref="L42:L43"/>
    <mergeCell ref="M42:M43"/>
    <mergeCell ref="F46:H46"/>
    <mergeCell ref="F47:H47"/>
    <mergeCell ref="F48:H48"/>
    <mergeCell ref="F49:H49"/>
    <mergeCell ref="J45:K45"/>
    <mergeCell ref="L45:L50"/>
    <mergeCell ref="J46:K46"/>
    <mergeCell ref="J47:K47"/>
    <mergeCell ref="J48:K48"/>
    <mergeCell ref="J49:K49"/>
    <mergeCell ref="L51:L54"/>
    <mergeCell ref="J58:K58"/>
    <mergeCell ref="J61:K61"/>
    <mergeCell ref="J62:K62"/>
    <mergeCell ref="J63:K63"/>
    <mergeCell ref="L60:L64"/>
    <mergeCell ref="L65:L69"/>
    <mergeCell ref="L70:L71"/>
    <mergeCell ref="L72:L73"/>
    <mergeCell ref="J54:K54"/>
    <mergeCell ref="J55:K55"/>
    <mergeCell ref="L55:L57"/>
    <mergeCell ref="J56:K56"/>
    <mergeCell ref="J57:K57"/>
    <mergeCell ref="L58:L59"/>
    <mergeCell ref="J64:K64"/>
    <mergeCell ref="J75:K75"/>
    <mergeCell ref="J76:K76"/>
    <mergeCell ref="J77:K77"/>
    <mergeCell ref="J66:K66"/>
    <mergeCell ref="J67:K67"/>
    <mergeCell ref="J68:K68"/>
    <mergeCell ref="J69:K69"/>
    <mergeCell ref="J71:K71"/>
    <mergeCell ref="J73:K73"/>
    <mergeCell ref="J74:K74"/>
    <mergeCell ref="F69:H69"/>
    <mergeCell ref="F70:H70"/>
    <mergeCell ref="J70:K70"/>
    <mergeCell ref="F63:H63"/>
    <mergeCell ref="F64:H64"/>
    <mergeCell ref="F65:H65"/>
    <mergeCell ref="J65:K65"/>
    <mergeCell ref="F66:H66"/>
    <mergeCell ref="F67:H67"/>
    <mergeCell ref="F68:H68"/>
    <mergeCell ref="B45:D50"/>
    <mergeCell ref="B51:D54"/>
    <mergeCell ref="E51:E54"/>
    <mergeCell ref="B55:D57"/>
    <mergeCell ref="E55:E57"/>
    <mergeCell ref="B58:D59"/>
    <mergeCell ref="E58:E59"/>
    <mergeCell ref="B60:D64"/>
    <mergeCell ref="E60:E64"/>
    <mergeCell ref="B65:D69"/>
    <mergeCell ref="E65:E69"/>
    <mergeCell ref="B70:D71"/>
    <mergeCell ref="E70:E71"/>
    <mergeCell ref="E72:E73"/>
    <mergeCell ref="B42:H43"/>
    <mergeCell ref="B44:D44"/>
    <mergeCell ref="F44:H44"/>
    <mergeCell ref="J44:K44"/>
    <mergeCell ref="E45:E50"/>
    <mergeCell ref="F45:H45"/>
    <mergeCell ref="F50:H50"/>
    <mergeCell ref="J50:K50"/>
    <mergeCell ref="J52:K52"/>
    <mergeCell ref="F51:H51"/>
    <mergeCell ref="J51:K51"/>
    <mergeCell ref="F52:H52"/>
    <mergeCell ref="F53:H53"/>
    <mergeCell ref="J53:K53"/>
    <mergeCell ref="F54:H54"/>
    <mergeCell ref="F55:H55"/>
    <mergeCell ref="J59:K59"/>
    <mergeCell ref="J60:K60"/>
    <mergeCell ref="F71:H71"/>
    <mergeCell ref="F72:H72"/>
    <mergeCell ref="J72:K72"/>
    <mergeCell ref="F73:H73"/>
    <mergeCell ref="F56:H56"/>
    <mergeCell ref="F57:H57"/>
    <mergeCell ref="F58:H58"/>
    <mergeCell ref="F59:H59"/>
    <mergeCell ref="F60:H60"/>
    <mergeCell ref="F61:H61"/>
    <mergeCell ref="F62:H62"/>
    <mergeCell ref="B87:D87"/>
    <mergeCell ref="B88:D88"/>
    <mergeCell ref="B89:D89"/>
    <mergeCell ref="B72:D73"/>
    <mergeCell ref="B81:D81"/>
    <mergeCell ref="B82:D82"/>
    <mergeCell ref="B83:D83"/>
    <mergeCell ref="B84:D84"/>
    <mergeCell ref="B85:D85"/>
    <mergeCell ref="B86:D86"/>
  </mergeCells>
  <conditionalFormatting sqref="J45:K72">
    <cfRule type="cellIs" dxfId="13" priority="1" operator="greaterThanOrEqual">
      <formula>I45</formula>
    </cfRule>
  </conditionalFormatting>
  <conditionalFormatting sqref="M45:M72">
    <cfRule type="beginsWith" dxfId="17" priority="2" operator="beginsWith" text="Start in">
      <formula>LEFT((M45),LEN("Start in"))=("Start in")</formula>
    </cfRule>
  </conditionalFormatting>
  <conditionalFormatting sqref="M45:M72">
    <cfRule type="beginsWith" dxfId="18" priority="3" operator="beginsWith" text="Expire in">
      <formula>LEFT((M45),LEN("Expire in"))=("Expire in")</formula>
    </cfRule>
  </conditionalFormatting>
  <conditionalFormatting sqref="M45:M72">
    <cfRule type="beginsWith" dxfId="19" priority="4" operator="beginsWith" text="Expired">
      <formula>LEFT((M45),LEN("Expired"))=("Expired")</formula>
    </cfRule>
  </conditionalFormatting>
  <dataValidations>
    <dataValidation type="list" allowBlank="1" showErrorMessage="1" sqref="Q3:Q100">
      <formula1>data!$C$2:$C1000</formula1>
    </dataValidation>
    <dataValidation type="list" allowBlank="1" showErrorMessage="1" sqref="R3:R100">
      <formula1>data!$B$2:$B1000</formula1>
    </dataValidation>
    <dataValidation type="list" allowBlank="1" showErrorMessage="1" sqref="S3:S100">
      <formula1>data!$D$2:$D1000</formula1>
    </dataValidation>
    <dataValidation type="list" allowBlank="1" showErrorMessage="1" sqref="E4:F39">
      <formula1>data!$E$2:$E1000</formula1>
    </dataValidation>
    <dataValidation type="custom" allowBlank="1" showDropDown="1" sqref="W4:W23 B4:B39 I4:I39 E83:F88 P3:P1000">
      <formula1>OR(NOT(ISERROR(DATEVALUE(B3))), AND(ISNUMBER(B3), LEFT(CELL("format", B3))="D"))</formula1>
    </dataValidation>
  </dataValidation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